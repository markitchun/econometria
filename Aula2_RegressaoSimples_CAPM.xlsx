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G:\Meu Drive\Disciplinas_Grad\ME\2024\Excel\"/>
    </mc:Choice>
  </mc:AlternateContent>
  <xr:revisionPtr revIDLastSave="0" documentId="8_{D1312479-CCD5-4874-82CD-9B93EB449E31}" xr6:coauthVersionLast="47" xr6:coauthVersionMax="47" xr10:uidLastSave="{00000000-0000-0000-0000-000000000000}"/>
  <bookViews>
    <workbookView xWindow="28680" yWindow="-120" windowWidth="19440" windowHeight="14880"/>
  </bookViews>
  <sheets>
    <sheet name="capm_regressao" sheetId="1" r:id="rId1"/>
    <sheet name="regressao via solver" sheetId="2" r:id="rId2"/>
  </sheets>
  <definedNames>
    <definedName name="_xlnm._FilterDatabase" localSheetId="0" hidden="1">capm_regressao!$A$1:$G$195</definedName>
    <definedName name="solver_adj" localSheetId="1" hidden="1">'regressao via solver'!$G$3:$G$4</definedName>
    <definedName name="solver_cvg" localSheetId="1" hidden="1">"""""""0,0001"""""""</definedName>
    <definedName name="solver_drv" localSheetId="1" hidden="1">2</definedName>
    <definedName name="solver_eng" localSheetId="1" hidden="1">1</definedName>
    <definedName name="solver_est" localSheetId="1" hidden="1">1</definedName>
    <definedName name="solver_itr" localSheetId="1" hidden="1">2147483647</definedName>
    <definedName name="solver_mip" localSheetId="1" hidden="1">2147483647</definedName>
    <definedName name="solver_mni" localSheetId="1" hidden="1">30</definedName>
    <definedName name="solver_mrt" localSheetId="1" hidden="1">"""""""0,075"""""""</definedName>
    <definedName name="solver_msl" localSheetId="1" hidden="1">2</definedName>
    <definedName name="solver_neg" localSheetId="1" hidden="1">2</definedName>
    <definedName name="solver_nod" localSheetId="1" hidden="1">2147483647</definedName>
    <definedName name="solver_num" localSheetId="1" hidden="1">0</definedName>
    <definedName name="solver_nwt" localSheetId="1" hidden="1">1</definedName>
    <definedName name="solver_opt" localSheetId="1" hidden="1">'regressao via solver'!$J$2</definedName>
    <definedName name="solver_pre" localSheetId="1" hidden="1">"""""""0,000001"""""""</definedName>
    <definedName name="solver_rbv" localSheetId="1" hidden="1">2</definedName>
    <definedName name="solver_rlx" localSheetId="1" hidden="1">2</definedName>
    <definedName name="solver_rsd" localSheetId="1" hidden="1">0</definedName>
    <definedName name="solver_scl" localSheetId="1" hidden="1">2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1</definedName>
    <definedName name="solver_typ" localSheetId="1" hidden="1">2</definedName>
    <definedName name="solver_val" localSheetId="1" hidden="1">0</definedName>
    <definedName name="solver_ver" localSheetId="1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4" i="1" l="1"/>
  <c r="N4" i="1" s="1"/>
  <c r="K5" i="1"/>
  <c r="K6" i="1"/>
  <c r="K7" i="1"/>
  <c r="K8" i="1"/>
  <c r="K9" i="1"/>
  <c r="K10" i="1"/>
  <c r="N10" i="1" s="1"/>
  <c r="K11" i="1"/>
  <c r="N11" i="1" s="1"/>
  <c r="K12" i="1"/>
  <c r="N12" i="1" s="1"/>
  <c r="K13" i="1"/>
  <c r="N13" i="1" s="1"/>
  <c r="K14" i="1"/>
  <c r="N14" i="1" s="1"/>
  <c r="K15" i="1"/>
  <c r="N15" i="1" s="1"/>
  <c r="K16" i="1"/>
  <c r="N16" i="1" s="1"/>
  <c r="K17" i="1"/>
  <c r="K18" i="1"/>
  <c r="K19" i="1"/>
  <c r="K20" i="1"/>
  <c r="K21" i="1"/>
  <c r="K22" i="1"/>
  <c r="N22" i="1" s="1"/>
  <c r="K23" i="1"/>
  <c r="N23" i="1" s="1"/>
  <c r="K24" i="1"/>
  <c r="N24" i="1" s="1"/>
  <c r="K25" i="1"/>
  <c r="N25" i="1" s="1"/>
  <c r="K26" i="1"/>
  <c r="N26" i="1" s="1"/>
  <c r="K27" i="1"/>
  <c r="N27" i="1" s="1"/>
  <c r="K28" i="1"/>
  <c r="N28" i="1" s="1"/>
  <c r="K29" i="1"/>
  <c r="K30" i="1"/>
  <c r="K31" i="1"/>
  <c r="K32" i="1"/>
  <c r="K33" i="1"/>
  <c r="N33" i="1" s="1"/>
  <c r="K34" i="1"/>
  <c r="N34" i="1" s="1"/>
  <c r="K35" i="1"/>
  <c r="N35" i="1" s="1"/>
  <c r="K36" i="1"/>
  <c r="N36" i="1" s="1"/>
  <c r="K37" i="1"/>
  <c r="N37" i="1" s="1"/>
  <c r="K38" i="1"/>
  <c r="N38" i="1" s="1"/>
  <c r="K39" i="1"/>
  <c r="N39" i="1" s="1"/>
  <c r="K40" i="1"/>
  <c r="N40" i="1" s="1"/>
  <c r="K41" i="1"/>
  <c r="K42" i="1"/>
  <c r="K43" i="1"/>
  <c r="K44" i="1"/>
  <c r="K45" i="1"/>
  <c r="K46" i="1"/>
  <c r="N46" i="1" s="1"/>
  <c r="K47" i="1"/>
  <c r="K48" i="1"/>
  <c r="N48" i="1" s="1"/>
  <c r="K49" i="1"/>
  <c r="N49" i="1" s="1"/>
  <c r="K50" i="1"/>
  <c r="N50" i="1" s="1"/>
  <c r="K51" i="1"/>
  <c r="N51" i="1" s="1"/>
  <c r="K52" i="1"/>
  <c r="K53" i="1"/>
  <c r="K54" i="1"/>
  <c r="K55" i="1"/>
  <c r="K56" i="1"/>
  <c r="K57" i="1"/>
  <c r="N57" i="1" s="1"/>
  <c r="K58" i="1"/>
  <c r="K59" i="1"/>
  <c r="K60" i="1"/>
  <c r="N60" i="1" s="1"/>
  <c r="K61" i="1"/>
  <c r="N61" i="1" s="1"/>
  <c r="K62" i="1"/>
  <c r="K63" i="1"/>
  <c r="K64" i="1"/>
  <c r="N64" i="1" s="1"/>
  <c r="K65" i="1"/>
  <c r="K66" i="1"/>
  <c r="K67" i="1"/>
  <c r="K68" i="1"/>
  <c r="K69" i="1"/>
  <c r="K70" i="1"/>
  <c r="K71" i="1"/>
  <c r="K72" i="1"/>
  <c r="N72" i="1" s="1"/>
  <c r="K73" i="1"/>
  <c r="N73" i="1" s="1"/>
  <c r="K74" i="1"/>
  <c r="K75" i="1"/>
  <c r="K76" i="1"/>
  <c r="N76" i="1" s="1"/>
  <c r="K77" i="1"/>
  <c r="K78" i="1"/>
  <c r="K79" i="1"/>
  <c r="K80" i="1"/>
  <c r="K81" i="1"/>
  <c r="K82" i="1"/>
  <c r="K83" i="1"/>
  <c r="K84" i="1"/>
  <c r="N84" i="1" s="1"/>
  <c r="K85" i="1"/>
  <c r="N85" i="1" s="1"/>
  <c r="K86" i="1"/>
  <c r="K87" i="1"/>
  <c r="N87" i="1" s="1"/>
  <c r="K88" i="1"/>
  <c r="N88" i="1" s="1"/>
  <c r="K89" i="1"/>
  <c r="K90" i="1"/>
  <c r="K91" i="1"/>
  <c r="K92" i="1"/>
  <c r="K93" i="1"/>
  <c r="K94" i="1"/>
  <c r="K95" i="1"/>
  <c r="K96" i="1"/>
  <c r="N96" i="1" s="1"/>
  <c r="K97" i="1"/>
  <c r="N97" i="1" s="1"/>
  <c r="K98" i="1"/>
  <c r="N98" i="1" s="1"/>
  <c r="K99" i="1"/>
  <c r="N99" i="1" s="1"/>
  <c r="K100" i="1"/>
  <c r="N100" i="1" s="1"/>
  <c r="K101" i="1"/>
  <c r="K102" i="1"/>
  <c r="K103" i="1"/>
  <c r="K104" i="1"/>
  <c r="K105" i="1"/>
  <c r="K106" i="1"/>
  <c r="K107" i="1"/>
  <c r="K108" i="1"/>
  <c r="N108" i="1" s="1"/>
  <c r="K109" i="1"/>
  <c r="N109" i="1" s="1"/>
  <c r="K110" i="1"/>
  <c r="N110" i="1" s="1"/>
  <c r="K111" i="1"/>
  <c r="N111" i="1" s="1"/>
  <c r="K112" i="1"/>
  <c r="N112" i="1" s="1"/>
  <c r="K113" i="1"/>
  <c r="K114" i="1"/>
  <c r="K115" i="1"/>
  <c r="K116" i="1"/>
  <c r="K117" i="1"/>
  <c r="K118" i="1"/>
  <c r="K119" i="1"/>
  <c r="N119" i="1" s="1"/>
  <c r="K120" i="1"/>
  <c r="N120" i="1" s="1"/>
  <c r="K121" i="1"/>
  <c r="N121" i="1" s="1"/>
  <c r="K122" i="1"/>
  <c r="N122" i="1" s="1"/>
  <c r="K123" i="1"/>
  <c r="N123" i="1" s="1"/>
  <c r="K124" i="1"/>
  <c r="N124" i="1" s="1"/>
  <c r="K125" i="1"/>
  <c r="K126" i="1"/>
  <c r="K127" i="1"/>
  <c r="K128" i="1"/>
  <c r="K129" i="1"/>
  <c r="K130" i="1"/>
  <c r="K131" i="1"/>
  <c r="N131" i="1" s="1"/>
  <c r="K132" i="1"/>
  <c r="N132" i="1" s="1"/>
  <c r="K133" i="1"/>
  <c r="N133" i="1" s="1"/>
  <c r="K134" i="1"/>
  <c r="N134" i="1" s="1"/>
  <c r="K135" i="1"/>
  <c r="N135" i="1" s="1"/>
  <c r="K136" i="1"/>
  <c r="N136" i="1" s="1"/>
  <c r="K137" i="1"/>
  <c r="K138" i="1"/>
  <c r="K139" i="1"/>
  <c r="K140" i="1"/>
  <c r="K141" i="1"/>
  <c r="K142" i="1"/>
  <c r="N142" i="1" s="1"/>
  <c r="K143" i="1"/>
  <c r="N143" i="1" s="1"/>
  <c r="K144" i="1"/>
  <c r="N144" i="1" s="1"/>
  <c r="K145" i="1"/>
  <c r="N145" i="1" s="1"/>
  <c r="K146" i="1"/>
  <c r="N146" i="1" s="1"/>
  <c r="K147" i="1"/>
  <c r="N147" i="1" s="1"/>
  <c r="K148" i="1"/>
  <c r="N148" i="1" s="1"/>
  <c r="K149" i="1"/>
  <c r="K150" i="1"/>
  <c r="K151" i="1"/>
  <c r="K152" i="1"/>
  <c r="K153" i="1"/>
  <c r="K154" i="1"/>
  <c r="N154" i="1" s="1"/>
  <c r="K155" i="1"/>
  <c r="N155" i="1" s="1"/>
  <c r="K156" i="1"/>
  <c r="N156" i="1" s="1"/>
  <c r="K157" i="1"/>
  <c r="N157" i="1" s="1"/>
  <c r="K158" i="1"/>
  <c r="N158" i="1" s="1"/>
  <c r="K159" i="1"/>
  <c r="N159" i="1" s="1"/>
  <c r="K160" i="1"/>
  <c r="N160" i="1" s="1"/>
  <c r="K161" i="1"/>
  <c r="K162" i="1"/>
  <c r="K163" i="1"/>
  <c r="K164" i="1"/>
  <c r="K165" i="1"/>
  <c r="K166" i="1"/>
  <c r="N166" i="1" s="1"/>
  <c r="K167" i="1"/>
  <c r="N167" i="1" s="1"/>
  <c r="K168" i="1"/>
  <c r="N168" i="1" s="1"/>
  <c r="K169" i="1"/>
  <c r="N169" i="1" s="1"/>
  <c r="K170" i="1"/>
  <c r="N170" i="1" s="1"/>
  <c r="K171" i="1"/>
  <c r="N171" i="1" s="1"/>
  <c r="K172" i="1"/>
  <c r="N172" i="1" s="1"/>
  <c r="K173" i="1"/>
  <c r="K174" i="1"/>
  <c r="K175" i="1"/>
  <c r="K176" i="1"/>
  <c r="K177" i="1"/>
  <c r="N177" i="1" s="1"/>
  <c r="K178" i="1"/>
  <c r="N178" i="1" s="1"/>
  <c r="K179" i="1"/>
  <c r="N179" i="1" s="1"/>
  <c r="K180" i="1"/>
  <c r="N180" i="1" s="1"/>
  <c r="K181" i="1"/>
  <c r="N181" i="1" s="1"/>
  <c r="K182" i="1"/>
  <c r="N182" i="1" s="1"/>
  <c r="K183" i="1"/>
  <c r="N183" i="1" s="1"/>
  <c r="K184" i="1"/>
  <c r="N184" i="1" s="1"/>
  <c r="K185" i="1"/>
  <c r="K186" i="1"/>
  <c r="K187" i="1"/>
  <c r="K188" i="1"/>
  <c r="K189" i="1"/>
  <c r="K190" i="1"/>
  <c r="N190" i="1" s="1"/>
  <c r="K191" i="1"/>
  <c r="K192" i="1"/>
  <c r="N192" i="1" s="1"/>
  <c r="K193" i="1"/>
  <c r="N193" i="1" s="1"/>
  <c r="K194" i="1"/>
  <c r="N194" i="1" s="1"/>
  <c r="K195" i="1"/>
  <c r="N195" i="1" s="1"/>
  <c r="J4" i="1"/>
  <c r="M4" i="1" s="1"/>
  <c r="J5" i="1"/>
  <c r="J6" i="1"/>
  <c r="J7" i="1"/>
  <c r="J8" i="1"/>
  <c r="J9" i="1"/>
  <c r="J10" i="1"/>
  <c r="M10" i="1" s="1"/>
  <c r="J11" i="1"/>
  <c r="M11" i="1" s="1"/>
  <c r="J12" i="1"/>
  <c r="M12" i="1" s="1"/>
  <c r="J13" i="1"/>
  <c r="M13" i="1" s="1"/>
  <c r="J14" i="1"/>
  <c r="M14" i="1" s="1"/>
  <c r="J15" i="1"/>
  <c r="M15" i="1" s="1"/>
  <c r="J16" i="1"/>
  <c r="M16" i="1" s="1"/>
  <c r="J17" i="1"/>
  <c r="J18" i="1"/>
  <c r="J19" i="1"/>
  <c r="J20" i="1"/>
  <c r="J21" i="1"/>
  <c r="J22" i="1"/>
  <c r="M22" i="1" s="1"/>
  <c r="J23" i="1"/>
  <c r="M23" i="1" s="1"/>
  <c r="J24" i="1"/>
  <c r="M24" i="1" s="1"/>
  <c r="J25" i="1"/>
  <c r="M25" i="1" s="1"/>
  <c r="J26" i="1"/>
  <c r="M26" i="1" s="1"/>
  <c r="J27" i="1"/>
  <c r="M27" i="1" s="1"/>
  <c r="J28" i="1"/>
  <c r="M28" i="1" s="1"/>
  <c r="J29" i="1"/>
  <c r="J30" i="1"/>
  <c r="J31" i="1"/>
  <c r="J32" i="1"/>
  <c r="J33" i="1"/>
  <c r="J34" i="1"/>
  <c r="M34" i="1" s="1"/>
  <c r="J35" i="1"/>
  <c r="M35" i="1" s="1"/>
  <c r="J36" i="1"/>
  <c r="M36" i="1" s="1"/>
  <c r="J37" i="1"/>
  <c r="M37" i="1" s="1"/>
  <c r="J38" i="1"/>
  <c r="M38" i="1" s="1"/>
  <c r="J39" i="1"/>
  <c r="M39" i="1" s="1"/>
  <c r="J40" i="1"/>
  <c r="M40" i="1" s="1"/>
  <c r="J41" i="1"/>
  <c r="J42" i="1"/>
  <c r="J43" i="1"/>
  <c r="J44" i="1"/>
  <c r="J45" i="1"/>
  <c r="J46" i="1"/>
  <c r="M46" i="1" s="1"/>
  <c r="J47" i="1"/>
  <c r="M47" i="1" s="1"/>
  <c r="J48" i="1"/>
  <c r="M48" i="1" s="1"/>
  <c r="J49" i="1"/>
  <c r="M49" i="1" s="1"/>
  <c r="J50" i="1"/>
  <c r="M50" i="1" s="1"/>
  <c r="J51" i="1"/>
  <c r="M51" i="1" s="1"/>
  <c r="J52" i="1"/>
  <c r="M52" i="1" s="1"/>
  <c r="J53" i="1"/>
  <c r="J54" i="1"/>
  <c r="J55" i="1"/>
  <c r="J56" i="1"/>
  <c r="J57" i="1"/>
  <c r="J58" i="1"/>
  <c r="M58" i="1" s="1"/>
  <c r="J59" i="1"/>
  <c r="J60" i="1"/>
  <c r="M60" i="1" s="1"/>
  <c r="J61" i="1"/>
  <c r="M61" i="1" s="1"/>
  <c r="J62" i="1"/>
  <c r="M62" i="1" s="1"/>
  <c r="J63" i="1"/>
  <c r="M63" i="1" s="1"/>
  <c r="J64" i="1"/>
  <c r="J65" i="1"/>
  <c r="M65" i="1" s="1"/>
  <c r="J66" i="1"/>
  <c r="J67" i="1"/>
  <c r="J68" i="1"/>
  <c r="J69" i="1"/>
  <c r="J70" i="1"/>
  <c r="J71" i="1"/>
  <c r="J72" i="1"/>
  <c r="M72" i="1" s="1"/>
  <c r="J73" i="1"/>
  <c r="M73" i="1" s="1"/>
  <c r="J74" i="1"/>
  <c r="J75" i="1"/>
  <c r="M75" i="1" s="1"/>
  <c r="J76" i="1"/>
  <c r="M76" i="1" s="1"/>
  <c r="J77" i="1"/>
  <c r="J78" i="1"/>
  <c r="J79" i="1"/>
  <c r="J80" i="1"/>
  <c r="J81" i="1"/>
  <c r="J82" i="1"/>
  <c r="J83" i="1"/>
  <c r="J84" i="1"/>
  <c r="M84" i="1" s="1"/>
  <c r="J85" i="1"/>
  <c r="M85" i="1" s="1"/>
  <c r="J86" i="1"/>
  <c r="J87" i="1"/>
  <c r="M87" i="1" s="1"/>
  <c r="J88" i="1"/>
  <c r="M88" i="1" s="1"/>
  <c r="J89" i="1"/>
  <c r="M89" i="1" s="1"/>
  <c r="J90" i="1"/>
  <c r="J91" i="1"/>
  <c r="J92" i="1"/>
  <c r="J93" i="1"/>
  <c r="J94" i="1"/>
  <c r="J95" i="1"/>
  <c r="J96" i="1"/>
  <c r="M96" i="1" s="1"/>
  <c r="J97" i="1"/>
  <c r="M97" i="1" s="1"/>
  <c r="J98" i="1"/>
  <c r="J99" i="1"/>
  <c r="M99" i="1" s="1"/>
  <c r="J100" i="1"/>
  <c r="M100" i="1" s="1"/>
  <c r="J101" i="1"/>
  <c r="J102" i="1"/>
  <c r="J103" i="1"/>
  <c r="J104" i="1"/>
  <c r="J105" i="1"/>
  <c r="J106" i="1"/>
  <c r="J107" i="1"/>
  <c r="J108" i="1"/>
  <c r="M108" i="1" s="1"/>
  <c r="J109" i="1"/>
  <c r="M109" i="1" s="1"/>
  <c r="J110" i="1"/>
  <c r="M110" i="1" s="1"/>
  <c r="J111" i="1"/>
  <c r="M111" i="1" s="1"/>
  <c r="J112" i="1"/>
  <c r="M112" i="1" s="1"/>
  <c r="J113" i="1"/>
  <c r="J114" i="1"/>
  <c r="J115" i="1"/>
  <c r="J116" i="1"/>
  <c r="J117" i="1"/>
  <c r="J118" i="1"/>
  <c r="J119" i="1"/>
  <c r="J120" i="1"/>
  <c r="M120" i="1" s="1"/>
  <c r="J121" i="1"/>
  <c r="M121" i="1" s="1"/>
  <c r="J122" i="1"/>
  <c r="M122" i="1" s="1"/>
  <c r="J123" i="1"/>
  <c r="M123" i="1" s="1"/>
  <c r="J124" i="1"/>
  <c r="M124" i="1" s="1"/>
  <c r="J125" i="1"/>
  <c r="J126" i="1"/>
  <c r="J127" i="1"/>
  <c r="J128" i="1"/>
  <c r="J129" i="1"/>
  <c r="J130" i="1"/>
  <c r="J131" i="1"/>
  <c r="M131" i="1" s="1"/>
  <c r="J132" i="1"/>
  <c r="M132" i="1" s="1"/>
  <c r="J133" i="1"/>
  <c r="M133" i="1" s="1"/>
  <c r="J134" i="1"/>
  <c r="M134" i="1" s="1"/>
  <c r="J135" i="1"/>
  <c r="M135" i="1" s="1"/>
  <c r="J136" i="1"/>
  <c r="M136" i="1" s="1"/>
  <c r="J137" i="1"/>
  <c r="J138" i="1"/>
  <c r="J139" i="1"/>
  <c r="J140" i="1"/>
  <c r="J141" i="1"/>
  <c r="J142" i="1"/>
  <c r="J143" i="1"/>
  <c r="M143" i="1" s="1"/>
  <c r="J144" i="1"/>
  <c r="M144" i="1" s="1"/>
  <c r="J145" i="1"/>
  <c r="M145" i="1" s="1"/>
  <c r="J146" i="1"/>
  <c r="M146" i="1" s="1"/>
  <c r="J147" i="1"/>
  <c r="M147" i="1" s="1"/>
  <c r="J148" i="1"/>
  <c r="M148" i="1" s="1"/>
  <c r="J149" i="1"/>
  <c r="J150" i="1"/>
  <c r="J151" i="1"/>
  <c r="J152" i="1"/>
  <c r="J153" i="1"/>
  <c r="J154" i="1"/>
  <c r="M154" i="1" s="1"/>
  <c r="J155" i="1"/>
  <c r="M155" i="1" s="1"/>
  <c r="J156" i="1"/>
  <c r="M156" i="1" s="1"/>
  <c r="J157" i="1"/>
  <c r="M157" i="1" s="1"/>
  <c r="J158" i="1"/>
  <c r="M158" i="1" s="1"/>
  <c r="J159" i="1"/>
  <c r="M159" i="1" s="1"/>
  <c r="J160" i="1"/>
  <c r="M160" i="1" s="1"/>
  <c r="J161" i="1"/>
  <c r="J162" i="1"/>
  <c r="J163" i="1"/>
  <c r="J164" i="1"/>
  <c r="J165" i="1"/>
  <c r="J166" i="1"/>
  <c r="M166" i="1" s="1"/>
  <c r="J167" i="1"/>
  <c r="M167" i="1" s="1"/>
  <c r="J168" i="1"/>
  <c r="M168" i="1" s="1"/>
  <c r="J169" i="1"/>
  <c r="M169" i="1" s="1"/>
  <c r="J170" i="1"/>
  <c r="M170" i="1" s="1"/>
  <c r="J171" i="1"/>
  <c r="M171" i="1" s="1"/>
  <c r="J172" i="1"/>
  <c r="M172" i="1" s="1"/>
  <c r="J173" i="1"/>
  <c r="J174" i="1"/>
  <c r="J175" i="1"/>
  <c r="J176" i="1"/>
  <c r="J177" i="1"/>
  <c r="J178" i="1"/>
  <c r="M178" i="1" s="1"/>
  <c r="J179" i="1"/>
  <c r="M179" i="1" s="1"/>
  <c r="J180" i="1"/>
  <c r="M180" i="1" s="1"/>
  <c r="J181" i="1"/>
  <c r="M181" i="1" s="1"/>
  <c r="J182" i="1"/>
  <c r="M182" i="1" s="1"/>
  <c r="J183" i="1"/>
  <c r="M183" i="1" s="1"/>
  <c r="J184" i="1"/>
  <c r="M184" i="1" s="1"/>
  <c r="J185" i="1"/>
  <c r="J186" i="1"/>
  <c r="J187" i="1"/>
  <c r="J188" i="1"/>
  <c r="J189" i="1"/>
  <c r="J190" i="1"/>
  <c r="M190" i="1" s="1"/>
  <c r="J191" i="1"/>
  <c r="M191" i="1" s="1"/>
  <c r="J192" i="1"/>
  <c r="M192" i="1" s="1"/>
  <c r="J193" i="1"/>
  <c r="M193" i="1" s="1"/>
  <c r="J194" i="1"/>
  <c r="M194" i="1" s="1"/>
  <c r="J195" i="1"/>
  <c r="M195" i="1" s="1"/>
  <c r="K3" i="1"/>
  <c r="N3" i="1" s="1"/>
  <c r="J3" i="1"/>
  <c r="C3" i="2"/>
  <c r="D3" i="2"/>
  <c r="C4" i="2"/>
  <c r="D4" i="2"/>
  <c r="L4" i="1"/>
  <c r="L5" i="1"/>
  <c r="L6" i="1"/>
  <c r="M6" i="1" s="1"/>
  <c r="L7" i="1"/>
  <c r="M7" i="1" s="1"/>
  <c r="L8" i="1"/>
  <c r="N8" i="1" s="1"/>
  <c r="L9" i="1"/>
  <c r="M9" i="1" s="1"/>
  <c r="L10" i="1"/>
  <c r="L11" i="1"/>
  <c r="L12" i="1"/>
  <c r="L13" i="1"/>
  <c r="L14" i="1"/>
  <c r="L15" i="1"/>
  <c r="L16" i="1"/>
  <c r="L17" i="1"/>
  <c r="L18" i="1"/>
  <c r="M18" i="1" s="1"/>
  <c r="L19" i="1"/>
  <c r="M19" i="1" s="1"/>
  <c r="L20" i="1"/>
  <c r="N20" i="1" s="1"/>
  <c r="L21" i="1"/>
  <c r="M21" i="1" s="1"/>
  <c r="L22" i="1"/>
  <c r="L23" i="1"/>
  <c r="L24" i="1"/>
  <c r="L25" i="1"/>
  <c r="L26" i="1"/>
  <c r="L27" i="1"/>
  <c r="L28" i="1"/>
  <c r="L29" i="1"/>
  <c r="L30" i="1"/>
  <c r="M30" i="1" s="1"/>
  <c r="L31" i="1"/>
  <c r="M31" i="1" s="1"/>
  <c r="L32" i="1"/>
  <c r="N32" i="1" s="1"/>
  <c r="L33" i="1"/>
  <c r="M33" i="1" s="1"/>
  <c r="L34" i="1"/>
  <c r="L35" i="1"/>
  <c r="L36" i="1"/>
  <c r="L37" i="1"/>
  <c r="L38" i="1"/>
  <c r="L39" i="1"/>
  <c r="L40" i="1"/>
  <c r="L41" i="1"/>
  <c r="N41" i="1" s="1"/>
  <c r="L42" i="1"/>
  <c r="M42" i="1" s="1"/>
  <c r="L43" i="1"/>
  <c r="M43" i="1" s="1"/>
  <c r="L44" i="1"/>
  <c r="N44" i="1" s="1"/>
  <c r="L45" i="1"/>
  <c r="M45" i="1" s="1"/>
  <c r="L46" i="1"/>
  <c r="L47" i="1"/>
  <c r="L48" i="1"/>
  <c r="L49" i="1"/>
  <c r="L50" i="1"/>
  <c r="L51" i="1"/>
  <c r="L52" i="1"/>
  <c r="L53" i="1"/>
  <c r="M53" i="1" s="1"/>
  <c r="L54" i="1"/>
  <c r="M54" i="1" s="1"/>
  <c r="L55" i="1"/>
  <c r="M55" i="1" s="1"/>
  <c r="L56" i="1"/>
  <c r="N56" i="1" s="1"/>
  <c r="L57" i="1"/>
  <c r="M57" i="1" s="1"/>
  <c r="L58" i="1"/>
  <c r="N58" i="1" s="1"/>
  <c r="L59" i="1"/>
  <c r="L60" i="1"/>
  <c r="L61" i="1"/>
  <c r="L62" i="1"/>
  <c r="L63" i="1"/>
  <c r="L64" i="1"/>
  <c r="L65" i="1"/>
  <c r="N65" i="1" s="1"/>
  <c r="L66" i="1"/>
  <c r="M66" i="1" s="1"/>
  <c r="L67" i="1"/>
  <c r="M67" i="1" s="1"/>
  <c r="L68" i="1"/>
  <c r="N68" i="1" s="1"/>
  <c r="L69" i="1"/>
  <c r="M69" i="1" s="1"/>
  <c r="L70" i="1"/>
  <c r="N70" i="1" s="1"/>
  <c r="L71" i="1"/>
  <c r="L72" i="1"/>
  <c r="L73" i="1"/>
  <c r="L74" i="1"/>
  <c r="L75" i="1"/>
  <c r="L76" i="1"/>
  <c r="L77" i="1"/>
  <c r="M77" i="1" s="1"/>
  <c r="L78" i="1"/>
  <c r="M78" i="1" s="1"/>
  <c r="L79" i="1"/>
  <c r="M79" i="1" s="1"/>
  <c r="L80" i="1"/>
  <c r="N80" i="1" s="1"/>
  <c r="L81" i="1"/>
  <c r="M81" i="1" s="1"/>
  <c r="L82" i="1"/>
  <c r="M82" i="1" s="1"/>
  <c r="L83" i="1"/>
  <c r="L84" i="1"/>
  <c r="L85" i="1"/>
  <c r="L86" i="1"/>
  <c r="L87" i="1"/>
  <c r="L88" i="1"/>
  <c r="L89" i="1"/>
  <c r="N89" i="1" s="1"/>
  <c r="L90" i="1"/>
  <c r="M90" i="1" s="1"/>
  <c r="L91" i="1"/>
  <c r="M91" i="1" s="1"/>
  <c r="L92" i="1"/>
  <c r="N92" i="1" s="1"/>
  <c r="L93" i="1"/>
  <c r="M93" i="1" s="1"/>
  <c r="L94" i="1"/>
  <c r="M94" i="1" s="1"/>
  <c r="L95" i="1"/>
  <c r="L96" i="1"/>
  <c r="L97" i="1"/>
  <c r="L98" i="1"/>
  <c r="L99" i="1"/>
  <c r="L100" i="1"/>
  <c r="L101" i="1"/>
  <c r="M101" i="1" s="1"/>
  <c r="L102" i="1"/>
  <c r="M102" i="1" s="1"/>
  <c r="L103" i="1"/>
  <c r="M103" i="1" s="1"/>
  <c r="L104" i="1"/>
  <c r="N104" i="1" s="1"/>
  <c r="L105" i="1"/>
  <c r="M105" i="1" s="1"/>
  <c r="L106" i="1"/>
  <c r="N106" i="1" s="1"/>
  <c r="L107" i="1"/>
  <c r="L108" i="1"/>
  <c r="L109" i="1"/>
  <c r="L110" i="1"/>
  <c r="L111" i="1"/>
  <c r="L112" i="1"/>
  <c r="L113" i="1"/>
  <c r="M113" i="1" s="1"/>
  <c r="L114" i="1"/>
  <c r="M114" i="1" s="1"/>
  <c r="L115" i="1"/>
  <c r="M115" i="1" s="1"/>
  <c r="L116" i="1"/>
  <c r="N116" i="1" s="1"/>
  <c r="L117" i="1"/>
  <c r="M117" i="1" s="1"/>
  <c r="L118" i="1"/>
  <c r="N118" i="1" s="1"/>
  <c r="L119" i="1"/>
  <c r="L120" i="1"/>
  <c r="L121" i="1"/>
  <c r="L122" i="1"/>
  <c r="L123" i="1"/>
  <c r="L124" i="1"/>
  <c r="L125" i="1"/>
  <c r="L126" i="1"/>
  <c r="M126" i="1" s="1"/>
  <c r="L127" i="1"/>
  <c r="N127" i="1" s="1"/>
  <c r="L128" i="1"/>
  <c r="N128" i="1" s="1"/>
  <c r="L129" i="1"/>
  <c r="M129" i="1" s="1"/>
  <c r="L130" i="1"/>
  <c r="M130" i="1" s="1"/>
  <c r="L131" i="1"/>
  <c r="L132" i="1"/>
  <c r="L133" i="1"/>
  <c r="L134" i="1"/>
  <c r="L135" i="1"/>
  <c r="L136" i="1"/>
  <c r="L137" i="1"/>
  <c r="L138" i="1"/>
  <c r="M138" i="1" s="1"/>
  <c r="L139" i="1"/>
  <c r="M139" i="1" s="1"/>
  <c r="L140" i="1"/>
  <c r="N140" i="1" s="1"/>
  <c r="L141" i="1"/>
  <c r="M141" i="1" s="1"/>
  <c r="L142" i="1"/>
  <c r="L143" i="1"/>
  <c r="L144" i="1"/>
  <c r="L145" i="1"/>
  <c r="L146" i="1"/>
  <c r="L147" i="1"/>
  <c r="L148" i="1"/>
  <c r="L149" i="1"/>
  <c r="L150" i="1"/>
  <c r="M150" i="1" s="1"/>
  <c r="L151" i="1"/>
  <c r="M151" i="1" s="1"/>
  <c r="L152" i="1"/>
  <c r="N152" i="1" s="1"/>
  <c r="L153" i="1"/>
  <c r="M153" i="1" s="1"/>
  <c r="L154" i="1"/>
  <c r="L155" i="1"/>
  <c r="L156" i="1"/>
  <c r="L157" i="1"/>
  <c r="L158" i="1"/>
  <c r="L159" i="1"/>
  <c r="L160" i="1"/>
  <c r="L161" i="1"/>
  <c r="L162" i="1"/>
  <c r="M162" i="1" s="1"/>
  <c r="L163" i="1"/>
  <c r="M163" i="1" s="1"/>
  <c r="L164" i="1"/>
  <c r="N164" i="1" s="1"/>
  <c r="L165" i="1"/>
  <c r="M165" i="1" s="1"/>
  <c r="L166" i="1"/>
  <c r="L167" i="1"/>
  <c r="L168" i="1"/>
  <c r="L169" i="1"/>
  <c r="L170" i="1"/>
  <c r="L171" i="1"/>
  <c r="L172" i="1"/>
  <c r="L173" i="1"/>
  <c r="L174" i="1"/>
  <c r="M174" i="1" s="1"/>
  <c r="L175" i="1"/>
  <c r="M175" i="1" s="1"/>
  <c r="L176" i="1"/>
  <c r="N176" i="1" s="1"/>
  <c r="L177" i="1"/>
  <c r="M177" i="1" s="1"/>
  <c r="L178" i="1"/>
  <c r="L179" i="1"/>
  <c r="L180" i="1"/>
  <c r="L181" i="1"/>
  <c r="L182" i="1"/>
  <c r="L183" i="1"/>
  <c r="L184" i="1"/>
  <c r="L185" i="1"/>
  <c r="N185" i="1" s="1"/>
  <c r="L186" i="1"/>
  <c r="M186" i="1" s="1"/>
  <c r="L187" i="1"/>
  <c r="M187" i="1" s="1"/>
  <c r="L188" i="1"/>
  <c r="N188" i="1" s="1"/>
  <c r="L189" i="1"/>
  <c r="M189" i="1" s="1"/>
  <c r="L190" i="1"/>
  <c r="L191" i="1"/>
  <c r="L192" i="1"/>
  <c r="L193" i="1"/>
  <c r="L194" i="1"/>
  <c r="L195" i="1"/>
  <c r="L3" i="1"/>
  <c r="C5" i="2"/>
  <c r="D5" i="2"/>
  <c r="C6" i="2"/>
  <c r="D6" i="2"/>
  <c r="C7" i="2"/>
  <c r="D7" i="2"/>
  <c r="C8" i="2"/>
  <c r="D8" i="2"/>
  <c r="C9" i="2"/>
  <c r="D9" i="2"/>
  <c r="C10" i="2"/>
  <c r="D10" i="2"/>
  <c r="C11" i="2"/>
  <c r="D11" i="2"/>
  <c r="C12" i="2"/>
  <c r="D12" i="2"/>
  <c r="C13" i="2"/>
  <c r="D13" i="2"/>
  <c r="C14" i="2"/>
  <c r="D14" i="2"/>
  <c r="C15" i="2"/>
  <c r="D15" i="2"/>
  <c r="C16" i="2"/>
  <c r="D16" i="2"/>
  <c r="C17" i="2"/>
  <c r="D17" i="2"/>
  <c r="C18" i="2"/>
  <c r="D18" i="2"/>
  <c r="C19" i="2"/>
  <c r="D19" i="2"/>
  <c r="C20" i="2"/>
  <c r="D20" i="2"/>
  <c r="C21" i="2"/>
  <c r="D21" i="2"/>
  <c r="C22" i="2"/>
  <c r="D22" i="2"/>
  <c r="C23" i="2"/>
  <c r="D23" i="2"/>
  <c r="C24" i="2"/>
  <c r="D24" i="2"/>
  <c r="C25" i="2"/>
  <c r="D25" i="2"/>
  <c r="C26" i="2"/>
  <c r="D26" i="2"/>
  <c r="C27" i="2"/>
  <c r="D27" i="2"/>
  <c r="C28" i="2"/>
  <c r="D28" i="2"/>
  <c r="C29" i="2"/>
  <c r="D29" i="2"/>
  <c r="C30" i="2"/>
  <c r="D30" i="2"/>
  <c r="C31" i="2"/>
  <c r="D31" i="2"/>
  <c r="C32" i="2"/>
  <c r="D32" i="2"/>
  <c r="C33" i="2"/>
  <c r="D33" i="2"/>
  <c r="C34" i="2"/>
  <c r="D34" i="2"/>
  <c r="C35" i="2"/>
  <c r="D35" i="2"/>
  <c r="C36" i="2"/>
  <c r="D36" i="2"/>
  <c r="C37" i="2"/>
  <c r="D37" i="2"/>
  <c r="C38" i="2"/>
  <c r="D38" i="2"/>
  <c r="C39" i="2"/>
  <c r="D39" i="2"/>
  <c r="C40" i="2"/>
  <c r="D40" i="2"/>
  <c r="C41" i="2"/>
  <c r="D41" i="2"/>
  <c r="C42" i="2"/>
  <c r="D42" i="2"/>
  <c r="C43" i="2"/>
  <c r="D43" i="2"/>
  <c r="C44" i="2"/>
  <c r="D44" i="2"/>
  <c r="C45" i="2"/>
  <c r="D45" i="2"/>
  <c r="C46" i="2"/>
  <c r="D46" i="2"/>
  <c r="C47" i="2"/>
  <c r="D47" i="2"/>
  <c r="C48" i="2"/>
  <c r="D48" i="2"/>
  <c r="C49" i="2"/>
  <c r="D49" i="2"/>
  <c r="C50" i="2"/>
  <c r="D50" i="2"/>
  <c r="C51" i="2"/>
  <c r="D51" i="2"/>
  <c r="C52" i="2"/>
  <c r="D52" i="2"/>
  <c r="C53" i="2"/>
  <c r="D53" i="2"/>
  <c r="C54" i="2"/>
  <c r="D54" i="2"/>
  <c r="C55" i="2"/>
  <c r="D55" i="2"/>
  <c r="C56" i="2"/>
  <c r="D56" i="2"/>
  <c r="C57" i="2"/>
  <c r="D57" i="2"/>
  <c r="C58" i="2"/>
  <c r="D58" i="2"/>
  <c r="C59" i="2"/>
  <c r="D59" i="2"/>
  <c r="C60" i="2"/>
  <c r="D60" i="2"/>
  <c r="C61" i="2"/>
  <c r="D61" i="2"/>
  <c r="C62" i="2"/>
  <c r="D62" i="2"/>
  <c r="C63" i="2"/>
  <c r="D63" i="2"/>
  <c r="C64" i="2"/>
  <c r="D64" i="2"/>
  <c r="C65" i="2"/>
  <c r="D65" i="2"/>
  <c r="C66" i="2"/>
  <c r="D66" i="2"/>
  <c r="C67" i="2"/>
  <c r="D67" i="2"/>
  <c r="C68" i="2"/>
  <c r="D68" i="2"/>
  <c r="C69" i="2"/>
  <c r="D69" i="2"/>
  <c r="C70" i="2"/>
  <c r="D70" i="2"/>
  <c r="C71" i="2"/>
  <c r="D71" i="2"/>
  <c r="C72" i="2"/>
  <c r="D72" i="2"/>
  <c r="C73" i="2"/>
  <c r="D73" i="2"/>
  <c r="C74" i="2"/>
  <c r="D74" i="2"/>
  <c r="C75" i="2"/>
  <c r="D75" i="2"/>
  <c r="C76" i="2"/>
  <c r="D76" i="2"/>
  <c r="C77" i="2"/>
  <c r="D77" i="2"/>
  <c r="C78" i="2"/>
  <c r="D78" i="2"/>
  <c r="C79" i="2"/>
  <c r="D79" i="2"/>
  <c r="C80" i="2"/>
  <c r="D80" i="2"/>
  <c r="C81" i="2"/>
  <c r="D81" i="2"/>
  <c r="C82" i="2"/>
  <c r="D82" i="2"/>
  <c r="C83" i="2"/>
  <c r="D83" i="2"/>
  <c r="C84" i="2"/>
  <c r="D84" i="2"/>
  <c r="C85" i="2"/>
  <c r="D85" i="2"/>
  <c r="C86" i="2"/>
  <c r="D86" i="2"/>
  <c r="C87" i="2"/>
  <c r="D87" i="2"/>
  <c r="C88" i="2"/>
  <c r="D88" i="2"/>
  <c r="C89" i="2"/>
  <c r="D89" i="2"/>
  <c r="C90" i="2"/>
  <c r="D90" i="2"/>
  <c r="C91" i="2"/>
  <c r="D91" i="2"/>
  <c r="C92" i="2"/>
  <c r="D92" i="2"/>
  <c r="C93" i="2"/>
  <c r="D93" i="2"/>
  <c r="C94" i="2"/>
  <c r="D94" i="2"/>
  <c r="C95" i="2"/>
  <c r="D95" i="2"/>
  <c r="C96" i="2"/>
  <c r="D96" i="2"/>
  <c r="C97" i="2"/>
  <c r="D97" i="2"/>
  <c r="C98" i="2"/>
  <c r="D98" i="2"/>
  <c r="C99" i="2"/>
  <c r="D99" i="2"/>
  <c r="C100" i="2"/>
  <c r="D100" i="2"/>
  <c r="C101" i="2"/>
  <c r="D101" i="2"/>
  <c r="C102" i="2"/>
  <c r="D102" i="2"/>
  <c r="C103" i="2"/>
  <c r="D103" i="2"/>
  <c r="C104" i="2"/>
  <c r="D104" i="2"/>
  <c r="C105" i="2"/>
  <c r="D105" i="2"/>
  <c r="C106" i="2"/>
  <c r="D106" i="2"/>
  <c r="C107" i="2"/>
  <c r="D107" i="2"/>
  <c r="C108" i="2"/>
  <c r="D108" i="2"/>
  <c r="C109" i="2"/>
  <c r="D109" i="2"/>
  <c r="C110" i="2"/>
  <c r="D110" i="2"/>
  <c r="C111" i="2"/>
  <c r="D111" i="2"/>
  <c r="C112" i="2"/>
  <c r="D112" i="2"/>
  <c r="C113" i="2"/>
  <c r="D113" i="2"/>
  <c r="C114" i="2"/>
  <c r="D114" i="2"/>
  <c r="C115" i="2"/>
  <c r="D115" i="2"/>
  <c r="C116" i="2"/>
  <c r="D116" i="2"/>
  <c r="C117" i="2"/>
  <c r="D117" i="2"/>
  <c r="C118" i="2"/>
  <c r="D118" i="2"/>
  <c r="C119" i="2"/>
  <c r="D119" i="2"/>
  <c r="C120" i="2"/>
  <c r="D120" i="2"/>
  <c r="C121" i="2"/>
  <c r="D121" i="2"/>
  <c r="C122" i="2"/>
  <c r="D122" i="2"/>
  <c r="C123" i="2"/>
  <c r="D123" i="2"/>
  <c r="C124" i="2"/>
  <c r="D124" i="2"/>
  <c r="C125" i="2"/>
  <c r="D125" i="2"/>
  <c r="C126" i="2"/>
  <c r="D126" i="2"/>
  <c r="C127" i="2"/>
  <c r="D127" i="2"/>
  <c r="C128" i="2"/>
  <c r="D128" i="2"/>
  <c r="C129" i="2"/>
  <c r="D129" i="2"/>
  <c r="C130" i="2"/>
  <c r="D130" i="2"/>
  <c r="C131" i="2"/>
  <c r="D131" i="2"/>
  <c r="C132" i="2"/>
  <c r="D132" i="2"/>
  <c r="C133" i="2"/>
  <c r="D133" i="2"/>
  <c r="C134" i="2"/>
  <c r="D134" i="2"/>
  <c r="C135" i="2"/>
  <c r="D135" i="2"/>
  <c r="C136" i="2"/>
  <c r="D136" i="2"/>
  <c r="C137" i="2"/>
  <c r="D137" i="2"/>
  <c r="C138" i="2"/>
  <c r="D138" i="2"/>
  <c r="C139" i="2"/>
  <c r="D139" i="2"/>
  <c r="C140" i="2"/>
  <c r="D140" i="2"/>
  <c r="C141" i="2"/>
  <c r="D141" i="2"/>
  <c r="C142" i="2"/>
  <c r="D142" i="2"/>
  <c r="C143" i="2"/>
  <c r="D143" i="2"/>
  <c r="C144" i="2"/>
  <c r="D144" i="2"/>
  <c r="C145" i="2"/>
  <c r="D145" i="2"/>
  <c r="C146" i="2"/>
  <c r="D146" i="2"/>
  <c r="C147" i="2"/>
  <c r="D147" i="2"/>
  <c r="C148" i="2"/>
  <c r="D148" i="2"/>
  <c r="C149" i="2"/>
  <c r="D149" i="2"/>
  <c r="C150" i="2"/>
  <c r="D150" i="2"/>
  <c r="C151" i="2"/>
  <c r="D151" i="2"/>
  <c r="C152" i="2"/>
  <c r="D152" i="2"/>
  <c r="C153" i="2"/>
  <c r="D153" i="2"/>
  <c r="C154" i="2"/>
  <c r="D154" i="2"/>
  <c r="C155" i="2"/>
  <c r="D155" i="2"/>
  <c r="C156" i="2"/>
  <c r="D156" i="2"/>
  <c r="C157" i="2"/>
  <c r="D157" i="2"/>
  <c r="C158" i="2"/>
  <c r="D158" i="2"/>
  <c r="C159" i="2"/>
  <c r="D159" i="2"/>
  <c r="C160" i="2"/>
  <c r="D160" i="2"/>
  <c r="C161" i="2"/>
  <c r="D161" i="2"/>
  <c r="C162" i="2"/>
  <c r="D162" i="2"/>
  <c r="C163" i="2"/>
  <c r="D163" i="2"/>
  <c r="C164" i="2"/>
  <c r="D164" i="2"/>
  <c r="C165" i="2"/>
  <c r="D165" i="2"/>
  <c r="C166" i="2"/>
  <c r="D166" i="2"/>
  <c r="C167" i="2"/>
  <c r="D167" i="2"/>
  <c r="C168" i="2"/>
  <c r="D168" i="2"/>
  <c r="C169" i="2"/>
  <c r="D169" i="2"/>
  <c r="C170" i="2"/>
  <c r="D170" i="2"/>
  <c r="C171" i="2"/>
  <c r="D171" i="2"/>
  <c r="C172" i="2"/>
  <c r="D172" i="2"/>
  <c r="C173" i="2"/>
  <c r="D173" i="2"/>
  <c r="C174" i="2"/>
  <c r="D174" i="2"/>
  <c r="C175" i="2"/>
  <c r="D175" i="2"/>
  <c r="C176" i="2"/>
  <c r="D176" i="2"/>
  <c r="C177" i="2"/>
  <c r="D177" i="2"/>
  <c r="C178" i="2"/>
  <c r="D178" i="2"/>
  <c r="C179" i="2"/>
  <c r="D179" i="2"/>
  <c r="C180" i="2"/>
  <c r="D180" i="2"/>
  <c r="C181" i="2"/>
  <c r="D181" i="2"/>
  <c r="C182" i="2"/>
  <c r="D182" i="2"/>
  <c r="C183" i="2"/>
  <c r="D183" i="2"/>
  <c r="C184" i="2"/>
  <c r="D184" i="2"/>
  <c r="C185" i="2"/>
  <c r="D185" i="2"/>
  <c r="C186" i="2"/>
  <c r="D186" i="2"/>
  <c r="C187" i="2"/>
  <c r="D187" i="2"/>
  <c r="C188" i="2"/>
  <c r="D188" i="2"/>
  <c r="C189" i="2"/>
  <c r="D189" i="2"/>
  <c r="C190" i="2"/>
  <c r="D190" i="2"/>
  <c r="C191" i="2"/>
  <c r="D191" i="2"/>
  <c r="C192" i="2"/>
  <c r="D192" i="2"/>
  <c r="C193" i="2"/>
  <c r="D193" i="2"/>
  <c r="C194" i="2"/>
  <c r="D194" i="2"/>
  <c r="C195" i="2"/>
  <c r="D195" i="2"/>
  <c r="G7" i="2"/>
  <c r="M5" i="1"/>
  <c r="N5" i="1"/>
  <c r="M8" i="1"/>
  <c r="N9" i="1"/>
  <c r="M17" i="1"/>
  <c r="N17" i="1"/>
  <c r="M20" i="1"/>
  <c r="M29" i="1"/>
  <c r="N29" i="1"/>
  <c r="M41" i="1"/>
  <c r="N47" i="1"/>
  <c r="N52" i="1"/>
  <c r="M59" i="1"/>
  <c r="N59" i="1"/>
  <c r="N62" i="1"/>
  <c r="N63" i="1"/>
  <c r="M64" i="1"/>
  <c r="M71" i="1"/>
  <c r="N71" i="1"/>
  <c r="M74" i="1"/>
  <c r="N74" i="1"/>
  <c r="N75" i="1"/>
  <c r="M83" i="1"/>
  <c r="N83" i="1"/>
  <c r="M86" i="1"/>
  <c r="N86" i="1"/>
  <c r="M95" i="1"/>
  <c r="N95" i="1"/>
  <c r="M98" i="1"/>
  <c r="M107" i="1"/>
  <c r="N107" i="1"/>
  <c r="N113" i="1"/>
  <c r="M119" i="1"/>
  <c r="M125" i="1"/>
  <c r="N125" i="1"/>
  <c r="N130" i="1"/>
  <c r="M137" i="1"/>
  <c r="N137" i="1"/>
  <c r="M140" i="1"/>
  <c r="N141" i="1"/>
  <c r="M142" i="1"/>
  <c r="M149" i="1"/>
  <c r="N149" i="1"/>
  <c r="M152" i="1"/>
  <c r="N153" i="1"/>
  <c r="M161" i="1"/>
  <c r="N161" i="1"/>
  <c r="M164" i="1"/>
  <c r="M173" i="1"/>
  <c r="N173" i="1"/>
  <c r="M185" i="1"/>
  <c r="N191" i="1"/>
  <c r="M3" i="1"/>
  <c r="G8" i="2" l="1"/>
  <c r="G9" i="2" s="1"/>
  <c r="J2" i="2"/>
  <c r="M118" i="1"/>
  <c r="M128" i="1"/>
  <c r="N105" i="1"/>
  <c r="M104" i="1"/>
  <c r="M80" i="1"/>
  <c r="N77" i="1"/>
  <c r="M68" i="1"/>
  <c r="N129" i="1"/>
  <c r="M106" i="1"/>
  <c r="M116" i="1"/>
  <c r="N82" i="1"/>
  <c r="M92" i="1"/>
  <c r="M70" i="1"/>
  <c r="N189" i="1"/>
  <c r="M56" i="1"/>
  <c r="N45" i="1"/>
  <c r="M188" i="1"/>
  <c r="N53" i="1"/>
  <c r="M44" i="1"/>
  <c r="N117" i="1"/>
  <c r="N94" i="1"/>
  <c r="N93" i="1"/>
  <c r="N101" i="1"/>
  <c r="N81" i="1"/>
  <c r="N69" i="1"/>
  <c r="M176" i="1"/>
  <c r="N165" i="1"/>
  <c r="M32" i="1"/>
  <c r="N21" i="1"/>
  <c r="N115" i="1"/>
  <c r="N91" i="1"/>
  <c r="N79" i="1"/>
  <c r="N67" i="1"/>
  <c r="N55" i="1"/>
  <c r="N43" i="1"/>
  <c r="N31" i="1"/>
  <c r="N19" i="1"/>
  <c r="N7" i="1"/>
  <c r="N163" i="1"/>
  <c r="M127" i="1"/>
  <c r="N187" i="1"/>
  <c r="N175" i="1"/>
  <c r="N151" i="1"/>
  <c r="N139" i="1"/>
  <c r="N103" i="1"/>
  <c r="N186" i="1"/>
  <c r="N174" i="1"/>
  <c r="N162" i="1"/>
  <c r="N150" i="1"/>
  <c r="N138" i="1"/>
  <c r="N126" i="1"/>
  <c r="N114" i="1"/>
  <c r="N102" i="1"/>
  <c r="N90" i="1"/>
  <c r="N78" i="1"/>
  <c r="N66" i="1"/>
  <c r="N54" i="1"/>
  <c r="N42" i="1"/>
  <c r="N30" i="1"/>
  <c r="N18" i="1"/>
  <c r="N6" i="1"/>
  <c r="G10" i="2" l="1"/>
</calcChain>
</file>

<file path=xl/sharedStrings.xml><?xml version="1.0" encoding="utf-8"?>
<sst xmlns="http://schemas.openxmlformats.org/spreadsheetml/2006/main" count="31" uniqueCount="29">
  <si>
    <t>Date</t>
  </si>
  <si>
    <t>FORD</t>
  </si>
  <si>
    <t>GE</t>
  </si>
  <si>
    <t>MICROSOFT</t>
  </si>
  <si>
    <t>ORACLE</t>
  </si>
  <si>
    <t>USTB3M</t>
  </si>
  <si>
    <t>SANDP</t>
  </si>
  <si>
    <t>Rf</t>
  </si>
  <si>
    <t>Rm-Rf</t>
  </si>
  <si>
    <t>rSANDP (Rm)</t>
  </si>
  <si>
    <t>r_msft (Ri)</t>
  </si>
  <si>
    <t>Ri-Rf</t>
  </si>
  <si>
    <t>a</t>
  </si>
  <si>
    <t>b</t>
  </si>
  <si>
    <r>
      <t>* Para instalar o Solver siga esta sequência de comandos: Arquivos &gt;&gt; Opções &gt;&gt; Suplementos &gt;&gt; Gerenciar &gt;&gt; Ir.. &gt;&gt; (</t>
    </r>
    <r>
      <rPr>
        <u/>
        <sz val="11"/>
        <color indexed="8"/>
        <rFont val="Calibri"/>
        <family val="2"/>
      </rPr>
      <t>selecione</t>
    </r>
    <r>
      <rPr>
        <sz val="11"/>
        <color theme="1"/>
        <rFont val="Calibri"/>
        <family val="2"/>
        <scheme val="minor"/>
      </rPr>
      <t xml:space="preserve">) </t>
    </r>
    <r>
      <rPr>
        <b/>
        <i/>
        <sz val="11"/>
        <color indexed="8"/>
        <rFont val="Calibri"/>
        <family val="2"/>
      </rPr>
      <t>Solver</t>
    </r>
    <r>
      <rPr>
        <sz val="11"/>
        <color theme="1"/>
        <rFont val="Calibri"/>
        <family val="2"/>
        <scheme val="minor"/>
      </rPr>
      <t xml:space="preserve"> e </t>
    </r>
    <r>
      <rPr>
        <b/>
        <i/>
        <sz val="11"/>
        <color indexed="8"/>
        <rFont val="Calibri"/>
        <family val="2"/>
      </rPr>
      <t>Ferramentas de Análise</t>
    </r>
  </si>
  <si>
    <t>Minimização da RSS usando o Solver*</t>
  </si>
  <si>
    <r>
      <t>e</t>
    </r>
    <r>
      <rPr>
        <b/>
        <vertAlign val="subscript"/>
        <sz val="11"/>
        <color indexed="8"/>
        <rFont val="Calibri"/>
        <family val="2"/>
      </rPr>
      <t>i</t>
    </r>
    <r>
      <rPr>
        <b/>
        <vertAlign val="superscript"/>
        <sz val="11"/>
        <color indexed="8"/>
        <rFont val="Calibri"/>
        <family val="2"/>
      </rPr>
      <t>2</t>
    </r>
  </si>
  <si>
    <t>Y previsto</t>
  </si>
  <si>
    <t>Valores de</t>
  </si>
  <si>
    <t>Soma</t>
  </si>
  <si>
    <t>Estatísticas da variação de Y e X a partir da estimação do modelo linear</t>
  </si>
  <si>
    <t>TSS</t>
  </si>
  <si>
    <t>ESS</t>
  </si>
  <si>
    <t>RSS</t>
  </si>
  <si>
    <t>=G7-G8</t>
  </si>
  <si>
    <r>
      <t>R</t>
    </r>
    <r>
      <rPr>
        <vertAlign val="superscript"/>
        <sz val="11"/>
        <color indexed="8"/>
        <rFont val="Calibri"/>
        <family val="2"/>
      </rPr>
      <t>2</t>
    </r>
  </si>
  <si>
    <t>=G8/G7</t>
  </si>
  <si>
    <t xml:space="preserve"> =VARP(B3:B242)*CONT.NÚM(B3:B242)</t>
  </si>
  <si>
    <t xml:space="preserve"> =G4*COVAR(B3:B242;A3:A242)*CONT.NÚM(C3:C242)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</si>
</sst>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1" formatCode="0.0000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1"/>
      <color indexed="8"/>
      <name val="Calibri"/>
      <family val="2"/>
    </font>
    <font>
      <b/>
      <i/>
      <sz val="11"/>
      <color indexed="8"/>
      <name val="Calibri"/>
      <family val="2"/>
    </font>
    <font>
      <b/>
      <vertAlign val="subscript"/>
      <sz val="11"/>
      <color indexed="8"/>
      <name val="Calibri"/>
      <family val="2"/>
    </font>
    <font>
      <b/>
      <vertAlign val="superscript"/>
      <sz val="11"/>
      <color indexed="8"/>
      <name val="Calibri"/>
      <family val="2"/>
    </font>
    <font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3">
    <xf numFmtId="0" fontId="0" fillId="0" borderId="0"/>
    <xf numFmtId="0" fontId="1" fillId="0" borderId="0"/>
    <xf numFmtId="0" fontId="7" fillId="0" borderId="2" applyNumberFormat="0" applyFill="0" applyAlignment="0" applyProtection="0"/>
  </cellStyleXfs>
  <cellXfs count="9">
    <xf numFmtId="0" fontId="0" fillId="0" borderId="0" xfId="0"/>
    <xf numFmtId="17" fontId="0" fillId="0" borderId="0" xfId="0" applyNumberFormat="1"/>
    <xf numFmtId="2" fontId="0" fillId="0" borderId="0" xfId="0" applyNumberFormat="1" applyFont="1" applyFill="1" applyBorder="1" applyAlignment="1" applyProtection="1"/>
    <xf numFmtId="0" fontId="7" fillId="0" borderId="0" xfId="0" applyFont="1"/>
    <xf numFmtId="0" fontId="7" fillId="2" borderId="0" xfId="0" applyFont="1" applyFill="1" applyAlignment="1">
      <alignment horizontal="center"/>
    </xf>
    <xf numFmtId="0" fontId="0" fillId="0" borderId="1" xfId="0" applyBorder="1"/>
    <xf numFmtId="0" fontId="8" fillId="0" borderId="0" xfId="0" applyFont="1"/>
    <xf numFmtId="0" fontId="0" fillId="0" borderId="0" xfId="0" quotePrefix="1"/>
    <xf numFmtId="171" fontId="9" fillId="0" borderId="0" xfId="0" applyNumberFormat="1" applyFont="1"/>
  </cellXfs>
  <cellStyles count="3">
    <cellStyle name="Normal" xfId="0" builtinId="0"/>
    <cellStyle name="Normal 2" xfId="1"/>
    <cellStyle name="Total" xfId="2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Dispersão dos retornos</a:t>
            </a:r>
            <a:r>
              <a:rPr lang="en-US" baseline="0"/>
              <a:t> MSFT x SP500: fev/02 a fev/18 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capm_regressao!$N$2</c:f>
              <c:strCache>
                <c:ptCount val="1"/>
                <c:pt idx="0">
                  <c:v>Ri-Rf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5849923632427303"/>
                  <c:y val="3.673731312220333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capm_regressao!$M$3:$M$195</c:f>
              <c:numCache>
                <c:formatCode>General</c:formatCode>
                <c:ptCount val="193"/>
                <c:pt idx="0">
                  <c:v>-2.2451528057930092</c:v>
                </c:pt>
                <c:pt idx="1">
                  <c:v>3.4555107397161984</c:v>
                </c:pt>
                <c:pt idx="2">
                  <c:v>-6.4842988333636589</c:v>
                </c:pt>
                <c:pt idx="3">
                  <c:v>-1.0589635764789014</c:v>
                </c:pt>
                <c:pt idx="4">
                  <c:v>-7.6656016926842243</c:v>
                </c:pt>
                <c:pt idx="5">
                  <c:v>-8.3724884394633428</c:v>
                </c:pt>
                <c:pt idx="6">
                  <c:v>0.34945575163946452</c:v>
                </c:pt>
                <c:pt idx="7">
                  <c:v>-11.794447385193637</c:v>
                </c:pt>
                <c:pt idx="8">
                  <c:v>8.1572730081229423</c:v>
                </c:pt>
                <c:pt idx="9">
                  <c:v>5.4458904583661161</c:v>
                </c:pt>
                <c:pt idx="10">
                  <c:v>-6.3237600370991265</c:v>
                </c:pt>
                <c:pt idx="11">
                  <c:v>-2.8789154270656181</c:v>
                </c:pt>
                <c:pt idx="12">
                  <c:v>-1.8141496416746652</c:v>
                </c:pt>
                <c:pt idx="13">
                  <c:v>0.7364504134164972</c:v>
                </c:pt>
                <c:pt idx="14">
                  <c:v>7.6969006408777778</c:v>
                </c:pt>
                <c:pt idx="15">
                  <c:v>4.8737378716500857</c:v>
                </c:pt>
                <c:pt idx="16">
                  <c:v>1.0475264657303327</c:v>
                </c:pt>
                <c:pt idx="17">
                  <c:v>1.5326837792537389</c:v>
                </c:pt>
                <c:pt idx="18">
                  <c:v>1.6907022397408966</c:v>
                </c:pt>
                <c:pt idx="19">
                  <c:v>-1.2816271605865484</c:v>
                </c:pt>
                <c:pt idx="20">
                  <c:v>5.2720927131197364</c:v>
                </c:pt>
                <c:pt idx="21">
                  <c:v>0.63115495020902768</c:v>
                </c:pt>
                <c:pt idx="22">
                  <c:v>4.8760651849376648</c:v>
                </c:pt>
                <c:pt idx="23">
                  <c:v>1.6378847112134101</c:v>
                </c:pt>
                <c:pt idx="24">
                  <c:v>1.1351711544348333</c:v>
                </c:pt>
                <c:pt idx="25">
                  <c:v>-1.728587043499126</c:v>
                </c:pt>
                <c:pt idx="26">
                  <c:v>-1.7733314613340048</c:v>
                </c:pt>
                <c:pt idx="27">
                  <c:v>1.1144361472144231</c:v>
                </c:pt>
                <c:pt idx="28">
                  <c:v>1.6754111261681308</c:v>
                </c:pt>
                <c:pt idx="29">
                  <c:v>-3.6025568068539666</c:v>
                </c:pt>
                <c:pt idx="30">
                  <c:v>0.10347378381895284</c:v>
                </c:pt>
                <c:pt idx="31">
                  <c:v>0.79203063814545882</c:v>
                </c:pt>
                <c:pt idx="32">
                  <c:v>1.2425285333141876</c:v>
                </c:pt>
                <c:pt idx="33">
                  <c:v>3.607643683386204</c:v>
                </c:pt>
                <c:pt idx="34">
                  <c:v>3.0126580148315178</c:v>
                </c:pt>
                <c:pt idx="35">
                  <c:v>-2.7590767343611891</c:v>
                </c:pt>
                <c:pt idx="36">
                  <c:v>1.657689800322802</c:v>
                </c:pt>
                <c:pt idx="37">
                  <c:v>-2.1636094446842411</c:v>
                </c:pt>
                <c:pt idx="38">
                  <c:v>-2.2680177961168311</c:v>
                </c:pt>
                <c:pt idx="39">
                  <c:v>2.7095577464430542</c:v>
                </c:pt>
                <c:pt idx="40">
                  <c:v>-0.26760577437432975</c:v>
                </c:pt>
                <c:pt idx="41">
                  <c:v>3.2594865885320532</c:v>
                </c:pt>
                <c:pt idx="42">
                  <c:v>-1.4218881115260396</c:v>
                </c:pt>
                <c:pt idx="43">
                  <c:v>0.4016658163277988</c:v>
                </c:pt>
                <c:pt idx="44">
                  <c:v>-2.1058367376102862</c:v>
                </c:pt>
                <c:pt idx="45">
                  <c:v>3.1272880052061129</c:v>
                </c:pt>
                <c:pt idx="46">
                  <c:v>-0.42611360981761698</c:v>
                </c:pt>
                <c:pt idx="47">
                  <c:v>2.1531228948259686</c:v>
                </c:pt>
                <c:pt idx="48">
                  <c:v>-0.33302783475186987</c:v>
                </c:pt>
                <c:pt idx="49">
                  <c:v>1.3343272649558273</c:v>
                </c:pt>
                <c:pt idx="50">
                  <c:v>0.19821303345158603</c:v>
                </c:pt>
                <c:pt idx="51">
                  <c:v>-3.5469691220102275</c:v>
                </c:pt>
                <c:pt idx="52">
                  <c:v>-0.4092118451898164</c:v>
                </c:pt>
                <c:pt idx="53">
                  <c:v>0.24134799172975918</c:v>
                </c:pt>
                <c:pt idx="54">
                  <c:v>1.5330445269936668</c:v>
                </c:pt>
                <c:pt idx="55">
                  <c:v>2.015384664986283</c:v>
                </c:pt>
                <c:pt idx="56">
                  <c:v>2.670537081659428</c:v>
                </c:pt>
                <c:pt idx="57">
                  <c:v>1.223813974752376</c:v>
                </c:pt>
                <c:pt idx="58">
                  <c:v>0.82047992575126694</c:v>
                </c:pt>
                <c:pt idx="59">
                  <c:v>0.96567943136534073</c:v>
                </c:pt>
                <c:pt idx="60">
                  <c:v>-2.6166076094054453</c:v>
                </c:pt>
                <c:pt idx="61">
                  <c:v>0.56901871480579769</c:v>
                </c:pt>
                <c:pt idx="62">
                  <c:v>3.8225978028573926</c:v>
                </c:pt>
                <c:pt idx="63">
                  <c:v>2.7972390521054975</c:v>
                </c:pt>
                <c:pt idx="64">
                  <c:v>-2.1055897159147681</c:v>
                </c:pt>
                <c:pt idx="65">
                  <c:v>-3.7570673566194746</c:v>
                </c:pt>
                <c:pt idx="66">
                  <c:v>0.92229884766760772</c:v>
                </c:pt>
                <c:pt idx="67">
                  <c:v>3.2217318708593403</c:v>
                </c:pt>
                <c:pt idx="68">
                  <c:v>0.87068498178757969</c:v>
                </c:pt>
                <c:pt idx="69">
                  <c:v>-4.6534738523963357</c:v>
                </c:pt>
                <c:pt idx="70">
                  <c:v>-1.0469918972339078</c:v>
                </c:pt>
                <c:pt idx="71">
                  <c:v>-6.5162000200583305</c:v>
                </c:pt>
                <c:pt idx="72">
                  <c:v>-3.7359613351156948</c:v>
                </c:pt>
                <c:pt idx="73">
                  <c:v>-0.41077905018582495</c:v>
                </c:pt>
                <c:pt idx="74">
                  <c:v>4.283249771373538</c:v>
                </c:pt>
                <c:pt idx="75">
                  <c:v>0.83338663794822421</c:v>
                </c:pt>
                <c:pt idx="76">
                  <c:v>-9.3505022727410925</c:v>
                </c:pt>
                <c:pt idx="77">
                  <c:v>-0.70939403372644472</c:v>
                </c:pt>
                <c:pt idx="78">
                  <c:v>1.2940125991418758</c:v>
                </c:pt>
                <c:pt idx="79">
                  <c:v>-10.190850601033652</c:v>
                </c:pt>
                <c:pt idx="80">
                  <c:v>-18.441472446993874</c:v>
                </c:pt>
                <c:pt idx="81">
                  <c:v>-8.6423885180294473</c:v>
                </c:pt>
                <c:pt idx="82">
                  <c:v>1.6028040868597004</c:v>
                </c:pt>
                <c:pt idx="83">
                  <c:v>-9.2754217901624756</c:v>
                </c:pt>
                <c:pt idx="84">
                  <c:v>-12.08602544275578</c:v>
                </c:pt>
                <c:pt idx="85">
                  <c:v>8.3928326685716392</c:v>
                </c:pt>
                <c:pt idx="86">
                  <c:v>9.493735398562885</c:v>
                </c:pt>
                <c:pt idx="87">
                  <c:v>5.6123219381275158</c:v>
                </c:pt>
                <c:pt idx="88">
                  <c:v>-0.2796310790685082</c:v>
                </c:pt>
                <c:pt idx="89">
                  <c:v>7.2512526359756979</c:v>
                </c:pt>
                <c:pt idx="90">
                  <c:v>2.9018448855301462</c:v>
                </c:pt>
                <c:pt idx="91">
                  <c:v>3.4023539545889254</c:v>
                </c:pt>
                <c:pt idx="92">
                  <c:v>-1.7972894762201097</c:v>
                </c:pt>
                <c:pt idx="93">
                  <c:v>5.8718000370119103</c:v>
                </c:pt>
                <c:pt idx="94">
                  <c:v>1.5910323322078297</c:v>
                </c:pt>
                <c:pt idx="95">
                  <c:v>-3.9014999106519812</c:v>
                </c:pt>
                <c:pt idx="96">
                  <c:v>2.8791809576771761</c:v>
                </c:pt>
                <c:pt idx="97">
                  <c:v>5.775840137885341</c:v>
                </c:pt>
                <c:pt idx="98">
                  <c:v>1.4571485363073777</c:v>
                </c:pt>
                <c:pt idx="99">
                  <c:v>-8.9195009517306492</c:v>
                </c:pt>
                <c:pt idx="100">
                  <c:v>-5.3171433821677194</c:v>
                </c:pt>
                <c:pt idx="101">
                  <c:v>7.1372833191807699</c:v>
                </c:pt>
                <c:pt idx="102">
                  <c:v>-5.3742235809649603</c:v>
                </c:pt>
                <c:pt idx="103">
                  <c:v>8.5436546301938474</c:v>
                </c:pt>
                <c:pt idx="104">
                  <c:v>3.6148404441445523</c:v>
                </c:pt>
                <c:pt idx="105">
                  <c:v>6.3366955869381084E-2</c:v>
                </c:pt>
                <c:pt idx="106">
                  <c:v>5.8012320615256296</c:v>
                </c:pt>
                <c:pt idx="107">
                  <c:v>2.462929912306798</c:v>
                </c:pt>
                <c:pt idx="108">
                  <c:v>3.0072199610088246</c:v>
                </c:pt>
                <c:pt idx="109">
                  <c:v>5.4866599667333676E-2</c:v>
                </c:pt>
                <c:pt idx="110">
                  <c:v>2.6470361095660309</c:v>
                </c:pt>
                <c:pt idx="111">
                  <c:v>-1.4798903265796055</c:v>
                </c:pt>
                <c:pt idx="112">
                  <c:v>-1.8459518851290648</c:v>
                </c:pt>
                <c:pt idx="113">
                  <c:v>-2.1501881105938678</c:v>
                </c:pt>
                <c:pt idx="114">
                  <c:v>-5.8535314936121319</c:v>
                </c:pt>
                <c:pt idx="115">
                  <c:v>-7.4849794417011921</c:v>
                </c:pt>
                <c:pt idx="116">
                  <c:v>10.063874300363663</c:v>
                </c:pt>
                <c:pt idx="117">
                  <c:v>-0.32830466731329472</c:v>
                </c:pt>
                <c:pt idx="118">
                  <c:v>0.95296861206768169</c:v>
                </c:pt>
                <c:pt idx="119">
                  <c:v>4.1664044586163467</c:v>
                </c:pt>
                <c:pt idx="120">
                  <c:v>3.9842987412393089</c:v>
                </c:pt>
                <c:pt idx="121">
                  <c:v>3.0623751999005617</c:v>
                </c:pt>
                <c:pt idx="122">
                  <c:v>-0.76281699251177826</c:v>
                </c:pt>
                <c:pt idx="123">
                  <c:v>-6.508959317437772</c:v>
                </c:pt>
                <c:pt idx="124">
                  <c:v>3.9193545000562962</c:v>
                </c:pt>
                <c:pt idx="125">
                  <c:v>1.2310814788954465</c:v>
                </c:pt>
                <c:pt idx="126">
                  <c:v>1.9458897372981723</c:v>
                </c:pt>
                <c:pt idx="127">
                  <c:v>2.4043452686790241</c:v>
                </c:pt>
                <c:pt idx="128">
                  <c:v>-2.0202530943867059</c:v>
                </c:pt>
                <c:pt idx="129">
                  <c:v>0.28523180353572275</c:v>
                </c:pt>
                <c:pt idx="130">
                  <c:v>0.68721228080358765</c:v>
                </c:pt>
                <c:pt idx="131">
                  <c:v>4.9139458715591955</c:v>
                </c:pt>
                <c:pt idx="132">
                  <c:v>1.0916594218532338</c:v>
                </c:pt>
                <c:pt idx="133">
                  <c:v>3.527399315697588</c:v>
                </c:pt>
                <c:pt idx="134">
                  <c:v>1.7868012019289374</c:v>
                </c:pt>
                <c:pt idx="135">
                  <c:v>2.1123951082768992</c:v>
                </c:pt>
                <c:pt idx="136">
                  <c:v>-1.3572645727413182</c:v>
                </c:pt>
                <c:pt idx="137">
                  <c:v>4.8254425763231996</c:v>
                </c:pt>
                <c:pt idx="138">
                  <c:v>-3.2194988727198224</c:v>
                </c:pt>
                <c:pt idx="139">
                  <c:v>2.7986997406494578</c:v>
                </c:pt>
                <c:pt idx="140">
                  <c:v>4.4305895744551611</c:v>
                </c:pt>
                <c:pt idx="141">
                  <c:v>2.6785770944088436</c:v>
                </c:pt>
                <c:pt idx="142">
                  <c:v>2.1467975915643116</c:v>
                </c:pt>
                <c:pt idx="143">
                  <c:v>-3.4860738491773717</c:v>
                </c:pt>
                <c:pt idx="144">
                  <c:v>4.1168879491496835</c:v>
                </c:pt>
                <c:pt idx="145">
                  <c:v>0.86837249682221063</c:v>
                </c:pt>
                <c:pt idx="146">
                  <c:v>0.55253510011688867</c:v>
                </c:pt>
                <c:pt idx="147">
                  <c:v>2.0709610733356594</c:v>
                </c:pt>
                <c:pt idx="148">
                  <c:v>1.9740065326586282</c:v>
                </c:pt>
                <c:pt idx="149">
                  <c:v>-1.6720782458769428</c:v>
                </c:pt>
                <c:pt idx="150">
                  <c:v>3.7738689811750628</c:v>
                </c:pt>
                <c:pt idx="151">
                  <c:v>-1.6432542208666832</c:v>
                </c:pt>
                <c:pt idx="152">
                  <c:v>2.3430083690481931</c:v>
                </c:pt>
                <c:pt idx="153">
                  <c:v>2.3280265813537011</c:v>
                </c:pt>
                <c:pt idx="154">
                  <c:v>-0.33610811001525198</c:v>
                </c:pt>
                <c:pt idx="155">
                  <c:v>-3.0715997058701054</c:v>
                </c:pt>
                <c:pt idx="156">
                  <c:v>5.2927233713019524</c:v>
                </c:pt>
                <c:pt idx="157">
                  <c:v>-1.8046748099037104</c:v>
                </c:pt>
                <c:pt idx="158">
                  <c:v>0.94900011185346711</c:v>
                </c:pt>
                <c:pt idx="159">
                  <c:v>1.0116837493688986</c:v>
                </c:pt>
                <c:pt idx="160">
                  <c:v>-1.9961525136868954</c:v>
                </c:pt>
                <c:pt idx="161">
                  <c:v>1.7949872043323196</c:v>
                </c:pt>
                <c:pt idx="162">
                  <c:v>-6.6052276348838266</c:v>
                </c:pt>
                <c:pt idx="163">
                  <c:v>-2.5952986135958938</c:v>
                </c:pt>
                <c:pt idx="164">
                  <c:v>8.05736594730209</c:v>
                </c:pt>
                <c:pt idx="165">
                  <c:v>9.3397395980225312E-2</c:v>
                </c:pt>
                <c:pt idx="166">
                  <c:v>-2.1900148986011501</c:v>
                </c:pt>
                <c:pt idx="167">
                  <c:v>-5.1174330289292529</c:v>
                </c:pt>
                <c:pt idx="168">
                  <c:v>-1.8088168547485874E-2</c:v>
                </c:pt>
                <c:pt idx="169">
                  <c:v>5.9627086046743205</c:v>
                </c:pt>
                <c:pt idx="170">
                  <c:v>0.49249022739147275</c:v>
                </c:pt>
                <c:pt idx="171">
                  <c:v>1.263361284862885</c:v>
                </c:pt>
                <c:pt idx="172">
                  <c:v>0.23506209687665844</c:v>
                </c:pt>
                <c:pt idx="173">
                  <c:v>3.43046312533271</c:v>
                </c:pt>
                <c:pt idx="174">
                  <c:v>-0.10877638358627509</c:v>
                </c:pt>
                <c:pt idx="175">
                  <c:v>-0.34707048432618487</c:v>
                </c:pt>
                <c:pt idx="176">
                  <c:v>-1.6883843413758901</c:v>
                </c:pt>
                <c:pt idx="177">
                  <c:v>3.2657557292321324</c:v>
                </c:pt>
                <c:pt idx="178">
                  <c:v>2.2668186207176784</c:v>
                </c:pt>
                <c:pt idx="179">
                  <c:v>1.4563121013323732</c:v>
                </c:pt>
                <c:pt idx="180">
                  <c:v>4.00891570085704</c:v>
                </c:pt>
                <c:pt idx="181">
                  <c:v>-0.81273684076211627</c:v>
                </c:pt>
                <c:pt idx="182">
                  <c:v>1.0337863372076641</c:v>
                </c:pt>
                <c:pt idx="183">
                  <c:v>1.0552807611911439</c:v>
                </c:pt>
                <c:pt idx="184">
                  <c:v>0.56613714734344966</c:v>
                </c:pt>
                <c:pt idx="185">
                  <c:v>1.7717161071854046</c:v>
                </c:pt>
                <c:pt idx="186">
                  <c:v>-0.19409004040216499</c:v>
                </c:pt>
                <c:pt idx="187">
                  <c:v>1.7853965620570391</c:v>
                </c:pt>
                <c:pt idx="188">
                  <c:v>2.3389503969522889</c:v>
                </c:pt>
                <c:pt idx="189">
                  <c:v>2.2634445637441067</c:v>
                </c:pt>
                <c:pt idx="190">
                  <c:v>1.3382034976546096</c:v>
                </c:pt>
                <c:pt idx="191">
                  <c:v>4.7077932129058331</c:v>
                </c:pt>
                <c:pt idx="192">
                  <c:v>-3.7929238537473915</c:v>
                </c:pt>
              </c:numCache>
            </c:numRef>
          </c:xVal>
          <c:yVal>
            <c:numRef>
              <c:f>capm_regressao!$N$3:$N$195</c:f>
              <c:numCache>
                <c:formatCode>General</c:formatCode>
                <c:ptCount val="193"/>
                <c:pt idx="0">
                  <c:v>-8.9520238355488022</c:v>
                </c:pt>
                <c:pt idx="1">
                  <c:v>3.1684996185315768</c:v>
                </c:pt>
                <c:pt idx="2">
                  <c:v>-14.472507213594621</c:v>
                </c:pt>
                <c:pt idx="3">
                  <c:v>-2.7638520574700318</c:v>
                </c:pt>
                <c:pt idx="4">
                  <c:v>7.0362674847024431</c:v>
                </c:pt>
                <c:pt idx="5">
                  <c:v>-13.250445201638707</c:v>
                </c:pt>
                <c:pt idx="6">
                  <c:v>2.1292403180957695</c:v>
                </c:pt>
                <c:pt idx="7">
                  <c:v>-11.657193295248176</c:v>
                </c:pt>
                <c:pt idx="8">
                  <c:v>19.951605872476694</c:v>
                </c:pt>
                <c:pt idx="9">
                  <c:v>7.4748039945235609</c:v>
                </c:pt>
                <c:pt idx="10">
                  <c:v>-11.046104479564349</c:v>
                </c:pt>
                <c:pt idx="11">
                  <c:v>-8.6562197173432605</c:v>
                </c:pt>
                <c:pt idx="12">
                  <c:v>-0.22566467791614686</c:v>
                </c:pt>
                <c:pt idx="13">
                  <c:v>2.0332305976209692</c:v>
                </c:pt>
                <c:pt idx="14">
                  <c:v>5.3695726325041431</c:v>
                </c:pt>
                <c:pt idx="15">
                  <c:v>-3.91752175995763</c:v>
                </c:pt>
                <c:pt idx="16">
                  <c:v>4.0217354680722712</c:v>
                </c:pt>
                <c:pt idx="17">
                  <c:v>2.8822466591465674</c:v>
                </c:pt>
                <c:pt idx="18">
                  <c:v>0.33481056752875621</c:v>
                </c:pt>
                <c:pt idx="19">
                  <c:v>4.6336819407705896</c:v>
                </c:pt>
                <c:pt idx="20">
                  <c:v>-6.2352648118172915</c:v>
                </c:pt>
                <c:pt idx="21">
                  <c:v>-1.7378354224768806</c:v>
                </c:pt>
                <c:pt idx="22">
                  <c:v>6.1809243873181412</c:v>
                </c:pt>
                <c:pt idx="23">
                  <c:v>0.94281683794031856</c:v>
                </c:pt>
                <c:pt idx="24">
                  <c:v>-4.2132855458852063</c:v>
                </c:pt>
                <c:pt idx="25">
                  <c:v>-6.2995974974025204</c:v>
                </c:pt>
                <c:pt idx="26">
                  <c:v>4.6212143726866337</c:v>
                </c:pt>
                <c:pt idx="27">
                  <c:v>0.29530859497826945</c:v>
                </c:pt>
                <c:pt idx="28">
                  <c:v>8.4028308578595112</c:v>
                </c:pt>
                <c:pt idx="29">
                  <c:v>-0.35872872808938855</c:v>
                </c:pt>
                <c:pt idx="30">
                  <c:v>-4.3916482948940132</c:v>
                </c:pt>
                <c:pt idx="31">
                  <c:v>1.1339062407466964</c:v>
                </c:pt>
                <c:pt idx="32">
                  <c:v>1.0015076826265226</c:v>
                </c:pt>
                <c:pt idx="33">
                  <c:v>-4.4115889846256886</c:v>
                </c:pt>
                <c:pt idx="34">
                  <c:v>-0.52126037050575569</c:v>
                </c:pt>
                <c:pt idx="35">
                  <c:v>-1.8579079575135271</c:v>
                </c:pt>
                <c:pt idx="36">
                  <c:v>-4.570279983591961</c:v>
                </c:pt>
                <c:pt idx="37">
                  <c:v>-4.2476570450181406</c:v>
                </c:pt>
                <c:pt idx="38">
                  <c:v>4.3325494825723636</c:v>
                </c:pt>
                <c:pt idx="39">
                  <c:v>1.7153430293432297</c:v>
                </c:pt>
                <c:pt idx="40">
                  <c:v>-4.0452529435936393</c:v>
                </c:pt>
                <c:pt idx="41">
                  <c:v>2.7786015526735559</c:v>
                </c:pt>
                <c:pt idx="42">
                  <c:v>6.389651074527908</c:v>
                </c:pt>
                <c:pt idx="43">
                  <c:v>-6.506349037697321</c:v>
                </c:pt>
                <c:pt idx="44">
                  <c:v>-0.43249288153069476</c:v>
                </c:pt>
                <c:pt idx="45">
                  <c:v>7.0910766604456201</c:v>
                </c:pt>
                <c:pt idx="46">
                  <c:v>-6.016927357187023</c:v>
                </c:pt>
                <c:pt idx="47">
                  <c:v>7.0081497408100804</c:v>
                </c:pt>
                <c:pt idx="48">
                  <c:v>-5.0320228075407245</c:v>
                </c:pt>
                <c:pt idx="49">
                  <c:v>0.87157228670010789</c:v>
                </c:pt>
                <c:pt idx="50">
                  <c:v>-12.323346927871153</c:v>
                </c:pt>
                <c:pt idx="51">
                  <c:v>-6.8157861502872006</c:v>
                </c:pt>
                <c:pt idx="52">
                  <c:v>2.419346572415606</c:v>
                </c:pt>
                <c:pt idx="53">
                  <c:v>2.786401799723992</c:v>
                </c:pt>
                <c:pt idx="54">
                  <c:v>6.1698695161240238</c:v>
                </c:pt>
                <c:pt idx="55">
                  <c:v>5.811716472297781</c:v>
                </c:pt>
                <c:pt idx="56">
                  <c:v>4.4320597100579135</c:v>
                </c:pt>
                <c:pt idx="57">
                  <c:v>1.8162778504357189</c:v>
                </c:pt>
                <c:pt idx="58">
                  <c:v>1.2744921127735638</c:v>
                </c:pt>
                <c:pt idx="59">
                  <c:v>2.8682720405425886</c:v>
                </c:pt>
                <c:pt idx="60">
                  <c:v>-9.5503297451140003</c:v>
                </c:pt>
                <c:pt idx="61">
                  <c:v>-1.4940037846882994</c:v>
                </c:pt>
                <c:pt idx="62">
                  <c:v>6.7469535016883686</c:v>
                </c:pt>
                <c:pt idx="63">
                  <c:v>2.0683155490599168</c:v>
                </c:pt>
                <c:pt idx="64">
                  <c:v>-4.4514138398758032</c:v>
                </c:pt>
                <c:pt idx="65">
                  <c:v>-2.0555153216559088</c:v>
                </c:pt>
                <c:pt idx="66">
                  <c:v>-1.2609069942365858</c:v>
                </c:pt>
                <c:pt idx="67">
                  <c:v>2.1766504098954211</c:v>
                </c:pt>
                <c:pt idx="68">
                  <c:v>21.940286413397452</c:v>
                </c:pt>
                <c:pt idx="69">
                  <c:v>-9.4035233778779688</c:v>
                </c:pt>
                <c:pt idx="70">
                  <c:v>5.5261240899527282</c:v>
                </c:pt>
                <c:pt idx="71">
                  <c:v>-9.0383354655241064</c:v>
                </c:pt>
                <c:pt idx="72">
                  <c:v>-18.290355028964331</c:v>
                </c:pt>
                <c:pt idx="73">
                  <c:v>4.1400959762490723</c:v>
                </c:pt>
                <c:pt idx="74">
                  <c:v>0.38292923836141401</c:v>
                </c:pt>
                <c:pt idx="75">
                  <c:v>-0.85039933872428697</c:v>
                </c:pt>
                <c:pt idx="76">
                  <c:v>-3.059369388903582</c:v>
                </c:pt>
                <c:pt idx="77">
                  <c:v>-6.8664047780647488</c:v>
                </c:pt>
                <c:pt idx="78">
                  <c:v>5.7793177541203091</c:v>
                </c:pt>
                <c:pt idx="79">
                  <c:v>-2.3189703813390654</c:v>
                </c:pt>
                <c:pt idx="80">
                  <c:v>-17.893293503158173</c:v>
                </c:pt>
                <c:pt idx="81">
                  <c:v>-9.9417235049059673</c:v>
                </c:pt>
                <c:pt idx="82">
                  <c:v>-3.9364313663719233</c:v>
                </c:pt>
                <c:pt idx="83">
                  <c:v>-12.836272029733999</c:v>
                </c:pt>
                <c:pt idx="84">
                  <c:v>-5.7408413839948755</c:v>
                </c:pt>
                <c:pt idx="85">
                  <c:v>12.861557066161525</c:v>
                </c:pt>
                <c:pt idx="86">
                  <c:v>9.7796211823590014</c:v>
                </c:pt>
                <c:pt idx="87">
                  <c:v>3.0472028878141715</c:v>
                </c:pt>
                <c:pt idx="88">
                  <c:v>12.90037536734234</c:v>
                </c:pt>
                <c:pt idx="89">
                  <c:v>-1.0723158341676335</c:v>
                </c:pt>
                <c:pt idx="90">
                  <c:v>4.6784110791606226</c:v>
                </c:pt>
                <c:pt idx="91">
                  <c:v>4.2391960000469959</c:v>
                </c:pt>
                <c:pt idx="92">
                  <c:v>7.5187665805184221</c:v>
                </c:pt>
                <c:pt idx="93">
                  <c:v>5.8778226271550285</c:v>
                </c:pt>
                <c:pt idx="94">
                  <c:v>3.5694311585875176</c:v>
                </c:pt>
                <c:pt idx="95">
                  <c:v>-7.8508224347911417</c:v>
                </c:pt>
                <c:pt idx="96">
                  <c:v>1.7147106758077633</c:v>
                </c:pt>
                <c:pt idx="97">
                  <c:v>2.126991508570808</c:v>
                </c:pt>
                <c:pt idx="98">
                  <c:v>4.1657804220108083</c:v>
                </c:pt>
                <c:pt idx="99">
                  <c:v>-16.879621269988053</c:v>
                </c:pt>
                <c:pt idx="100">
                  <c:v>-11.454554912060651</c:v>
                </c:pt>
                <c:pt idx="101">
                  <c:v>11.469973760524136</c:v>
                </c:pt>
                <c:pt idx="102">
                  <c:v>-9.5172341063835404</c:v>
                </c:pt>
                <c:pt idx="103">
                  <c:v>4.2416903708729103</c:v>
                </c:pt>
                <c:pt idx="104">
                  <c:v>8.5166133896513223</c:v>
                </c:pt>
                <c:pt idx="105">
                  <c:v>-5.4433887938244485</c:v>
                </c:pt>
                <c:pt idx="106">
                  <c:v>9.964626395921897</c:v>
                </c:pt>
                <c:pt idx="107">
                  <c:v>-0.65951879205440755</c:v>
                </c:pt>
                <c:pt idx="108">
                  <c:v>-4.246413967592086</c:v>
                </c:pt>
                <c:pt idx="109">
                  <c:v>-4.5887030287431099</c:v>
                </c:pt>
                <c:pt idx="110">
                  <c:v>2.0609515153072593</c:v>
                </c:pt>
                <c:pt idx="111">
                  <c:v>-3.5772459927879554</c:v>
                </c:pt>
                <c:pt idx="112">
                  <c:v>3.8787459798621029</c:v>
                </c:pt>
                <c:pt idx="113">
                  <c:v>5.2413142039209193</c:v>
                </c:pt>
                <c:pt idx="114">
                  <c:v>-2.9648464273037667</c:v>
                </c:pt>
                <c:pt idx="115">
                  <c:v>-6.6453472918264787</c:v>
                </c:pt>
                <c:pt idx="116">
                  <c:v>6.7555619404818046</c:v>
                </c:pt>
                <c:pt idx="117">
                  <c:v>-4.0235899456843507</c:v>
                </c:pt>
                <c:pt idx="118">
                  <c:v>1.473772383105747</c:v>
                </c:pt>
                <c:pt idx="119">
                  <c:v>12.882487630461066</c:v>
                </c:pt>
                <c:pt idx="120">
                  <c:v>7.2095985478565021</c:v>
                </c:pt>
                <c:pt idx="121">
                  <c:v>1.6183628935851027</c:v>
                </c:pt>
                <c:pt idx="122">
                  <c:v>-0.75339697988787013</c:v>
                </c:pt>
                <c:pt idx="123">
                  <c:v>-9.2609488444238348</c:v>
                </c:pt>
                <c:pt idx="124">
                  <c:v>4.6771939038481749</c:v>
                </c:pt>
                <c:pt idx="125">
                  <c:v>-3.7383728679355661</c:v>
                </c:pt>
                <c:pt idx="126">
                  <c:v>4.470773374184648</c:v>
                </c:pt>
                <c:pt idx="127">
                  <c:v>-3.5090286593745215</c:v>
                </c:pt>
                <c:pt idx="128">
                  <c:v>-4.1941896210992367</c:v>
                </c:pt>
                <c:pt idx="129">
                  <c:v>-6.9718796554527351</c:v>
                </c:pt>
                <c:pt idx="130">
                  <c:v>0.33168058166691372</c:v>
                </c:pt>
                <c:pt idx="131">
                  <c:v>2.726988136937079</c:v>
                </c:pt>
                <c:pt idx="132">
                  <c:v>1.2586447006622845</c:v>
                </c:pt>
                <c:pt idx="133">
                  <c:v>2.8645357289464286</c:v>
                </c:pt>
                <c:pt idx="134">
                  <c:v>14.572687994522262</c:v>
                </c:pt>
                <c:pt idx="135">
                  <c:v>5.2920331221582133</c:v>
                </c:pt>
                <c:pt idx="136">
                  <c:v>-1.0410451511164995</c:v>
                </c:pt>
                <c:pt idx="137">
                  <c:v>-8.142807402762287</c:v>
                </c:pt>
                <c:pt idx="138">
                  <c:v>4.779926555337692</c:v>
                </c:pt>
                <c:pt idx="139">
                  <c:v>-0.36160406246287818</c:v>
                </c:pt>
                <c:pt idx="140">
                  <c:v>6.1996013552215308</c:v>
                </c:pt>
                <c:pt idx="141">
                  <c:v>7.394880063839512</c:v>
                </c:pt>
                <c:pt idx="142">
                  <c:v>-1.9121685068819338</c:v>
                </c:pt>
                <c:pt idx="143">
                  <c:v>1.1395362490289516</c:v>
                </c:pt>
                <c:pt idx="144">
                  <c:v>1.2302573965058188</c:v>
                </c:pt>
                <c:pt idx="145">
                  <c:v>6.7575531826564212</c:v>
                </c:pt>
                <c:pt idx="146">
                  <c:v>-1.4523348836579668</c:v>
                </c:pt>
                <c:pt idx="147">
                  <c:v>1.3252721335100346</c:v>
                </c:pt>
                <c:pt idx="148">
                  <c:v>1.8360263645083661</c:v>
                </c:pt>
                <c:pt idx="149">
                  <c:v>3.4387987604363013</c:v>
                </c:pt>
                <c:pt idx="150">
                  <c:v>5.1233539381378117</c:v>
                </c:pt>
                <c:pt idx="151">
                  <c:v>2.0247693603891399</c:v>
                </c:pt>
                <c:pt idx="152">
                  <c:v>1.2629520244989687</c:v>
                </c:pt>
                <c:pt idx="153">
                  <c:v>1.8134949933945208</c:v>
                </c:pt>
                <c:pt idx="154">
                  <c:v>-2.8883356765765464</c:v>
                </c:pt>
                <c:pt idx="155">
                  <c:v>-13.957165231631896</c:v>
                </c:pt>
                <c:pt idx="156">
                  <c:v>8.1928172069436425</c:v>
                </c:pt>
                <c:pt idx="157">
                  <c:v>-7.5554865007956353</c:v>
                </c:pt>
                <c:pt idx="158">
                  <c:v>17.918474223183367</c:v>
                </c:pt>
                <c:pt idx="159">
                  <c:v>-3.729842934555605</c:v>
                </c:pt>
                <c:pt idx="160">
                  <c:v>-5.958814873639696</c:v>
                </c:pt>
                <c:pt idx="161">
                  <c:v>5.6126213738046378</c:v>
                </c:pt>
                <c:pt idx="162">
                  <c:v>-7.0581916873773762</c:v>
                </c:pt>
                <c:pt idx="163">
                  <c:v>1.6844020221020481</c:v>
                </c:pt>
                <c:pt idx="164">
                  <c:v>17.337831191806018</c:v>
                </c:pt>
                <c:pt idx="165">
                  <c:v>3.1859975415255257</c:v>
                </c:pt>
                <c:pt idx="166">
                  <c:v>2.0386352011274314</c:v>
                </c:pt>
                <c:pt idx="167">
                  <c:v>-0.72710506286721888</c:v>
                </c:pt>
                <c:pt idx="168">
                  <c:v>-7.9756606132003993</c:v>
                </c:pt>
                <c:pt idx="169">
                  <c:v>8.178634522714157</c:v>
                </c:pt>
                <c:pt idx="170">
                  <c:v>-10.227835107386742</c:v>
                </c:pt>
                <c:pt idx="171">
                  <c:v>6.0638980712893025</c:v>
                </c:pt>
                <c:pt idx="172">
                  <c:v>-3.5363529820523825</c:v>
                </c:pt>
                <c:pt idx="173">
                  <c:v>10.201803109088162</c:v>
                </c:pt>
                <c:pt idx="174">
                  <c:v>1.3417621325252587</c:v>
                </c:pt>
                <c:pt idx="175">
                  <c:v>0.21918301652237573</c:v>
                </c:pt>
                <c:pt idx="176">
                  <c:v>3.9212772851503672</c:v>
                </c:pt>
                <c:pt idx="177">
                  <c:v>0.52831946815161068</c:v>
                </c:pt>
                <c:pt idx="178">
                  <c:v>3.0296387359564871</c:v>
                </c:pt>
                <c:pt idx="179">
                  <c:v>3.9164914948133509</c:v>
                </c:pt>
                <c:pt idx="180">
                  <c:v>-1.0859268298969014</c:v>
                </c:pt>
                <c:pt idx="181">
                  <c:v>2.8335757610569181</c:v>
                </c:pt>
                <c:pt idx="182">
                  <c:v>3.8043326363028251</c:v>
                </c:pt>
                <c:pt idx="183">
                  <c:v>1.9207235762607298</c:v>
                </c:pt>
                <c:pt idx="184">
                  <c:v>-1.3948690693349339</c:v>
                </c:pt>
                <c:pt idx="185">
                  <c:v>5.2341513043104353</c:v>
                </c:pt>
                <c:pt idx="186">
                  <c:v>2.7217018281447953</c:v>
                </c:pt>
                <c:pt idx="187">
                  <c:v>-0.46268335498364005</c:v>
                </c:pt>
                <c:pt idx="188">
                  <c:v>10.943373964248931</c:v>
                </c:pt>
                <c:pt idx="189">
                  <c:v>1.0789938480616996</c:v>
                </c:pt>
                <c:pt idx="190">
                  <c:v>1.5028908360483872</c:v>
                </c:pt>
                <c:pt idx="191">
                  <c:v>10.380638911320712</c:v>
                </c:pt>
                <c:pt idx="192">
                  <c:v>-1.446222683071505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560-4D3C-83FB-775D8F1CC3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5745055"/>
        <c:axId val="1"/>
      </c:scatterChart>
      <c:valAx>
        <c:axId val="11657450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5745055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Dispersão dos retornos</a:t>
            </a:r>
            <a:r>
              <a:rPr lang="en-US" baseline="0"/>
              <a:t> MSFT x SP500: fev/02 a fev/18 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capm_regressao!$N$2</c:f>
              <c:strCache>
                <c:ptCount val="1"/>
                <c:pt idx="0">
                  <c:v>Ri-Rf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5849923632427303"/>
                  <c:y val="3.673731312220333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capm_regressao!$M$3:$M$195</c:f>
              <c:numCache>
                <c:formatCode>General</c:formatCode>
                <c:ptCount val="193"/>
                <c:pt idx="0">
                  <c:v>-2.2451528057930092</c:v>
                </c:pt>
                <c:pt idx="1">
                  <c:v>3.4555107397161984</c:v>
                </c:pt>
                <c:pt idx="2">
                  <c:v>-6.4842988333636589</c:v>
                </c:pt>
                <c:pt idx="3">
                  <c:v>-1.0589635764789014</c:v>
                </c:pt>
                <c:pt idx="4">
                  <c:v>-7.6656016926842243</c:v>
                </c:pt>
                <c:pt idx="5">
                  <c:v>-8.3724884394633428</c:v>
                </c:pt>
                <c:pt idx="6">
                  <c:v>0.34945575163946452</c:v>
                </c:pt>
                <c:pt idx="7">
                  <c:v>-11.794447385193637</c:v>
                </c:pt>
                <c:pt idx="8">
                  <c:v>8.1572730081229423</c:v>
                </c:pt>
                <c:pt idx="9">
                  <c:v>5.4458904583661161</c:v>
                </c:pt>
                <c:pt idx="10">
                  <c:v>-6.3237600370991265</c:v>
                </c:pt>
                <c:pt idx="11">
                  <c:v>-2.8789154270656181</c:v>
                </c:pt>
                <c:pt idx="12">
                  <c:v>-1.8141496416746652</c:v>
                </c:pt>
                <c:pt idx="13">
                  <c:v>0.7364504134164972</c:v>
                </c:pt>
                <c:pt idx="14">
                  <c:v>7.6969006408777778</c:v>
                </c:pt>
                <c:pt idx="15">
                  <c:v>4.8737378716500857</c:v>
                </c:pt>
                <c:pt idx="16">
                  <c:v>1.0475264657303327</c:v>
                </c:pt>
                <c:pt idx="17">
                  <c:v>1.5326837792537389</c:v>
                </c:pt>
                <c:pt idx="18">
                  <c:v>1.6907022397408966</c:v>
                </c:pt>
                <c:pt idx="19">
                  <c:v>-1.2816271605865484</c:v>
                </c:pt>
                <c:pt idx="20">
                  <c:v>5.2720927131197364</c:v>
                </c:pt>
                <c:pt idx="21">
                  <c:v>0.63115495020902768</c:v>
                </c:pt>
                <c:pt idx="22">
                  <c:v>4.8760651849376648</c:v>
                </c:pt>
                <c:pt idx="23">
                  <c:v>1.6378847112134101</c:v>
                </c:pt>
                <c:pt idx="24">
                  <c:v>1.1351711544348333</c:v>
                </c:pt>
                <c:pt idx="25">
                  <c:v>-1.728587043499126</c:v>
                </c:pt>
                <c:pt idx="26">
                  <c:v>-1.7733314613340048</c:v>
                </c:pt>
                <c:pt idx="27">
                  <c:v>1.1144361472144231</c:v>
                </c:pt>
                <c:pt idx="28">
                  <c:v>1.6754111261681308</c:v>
                </c:pt>
                <c:pt idx="29">
                  <c:v>-3.6025568068539666</c:v>
                </c:pt>
                <c:pt idx="30">
                  <c:v>0.10347378381895284</c:v>
                </c:pt>
                <c:pt idx="31">
                  <c:v>0.79203063814545882</c:v>
                </c:pt>
                <c:pt idx="32">
                  <c:v>1.2425285333141876</c:v>
                </c:pt>
                <c:pt idx="33">
                  <c:v>3.607643683386204</c:v>
                </c:pt>
                <c:pt idx="34">
                  <c:v>3.0126580148315178</c:v>
                </c:pt>
                <c:pt idx="35">
                  <c:v>-2.7590767343611891</c:v>
                </c:pt>
                <c:pt idx="36">
                  <c:v>1.657689800322802</c:v>
                </c:pt>
                <c:pt idx="37">
                  <c:v>-2.1636094446842411</c:v>
                </c:pt>
                <c:pt idx="38">
                  <c:v>-2.2680177961168311</c:v>
                </c:pt>
                <c:pt idx="39">
                  <c:v>2.7095577464430542</c:v>
                </c:pt>
                <c:pt idx="40">
                  <c:v>-0.26760577437432975</c:v>
                </c:pt>
                <c:pt idx="41">
                  <c:v>3.2594865885320532</c:v>
                </c:pt>
                <c:pt idx="42">
                  <c:v>-1.4218881115260396</c:v>
                </c:pt>
                <c:pt idx="43">
                  <c:v>0.4016658163277988</c:v>
                </c:pt>
                <c:pt idx="44">
                  <c:v>-2.1058367376102862</c:v>
                </c:pt>
                <c:pt idx="45">
                  <c:v>3.1272880052061129</c:v>
                </c:pt>
                <c:pt idx="46">
                  <c:v>-0.42611360981761698</c:v>
                </c:pt>
                <c:pt idx="47">
                  <c:v>2.1531228948259686</c:v>
                </c:pt>
                <c:pt idx="48">
                  <c:v>-0.33302783475186987</c:v>
                </c:pt>
                <c:pt idx="49">
                  <c:v>1.3343272649558273</c:v>
                </c:pt>
                <c:pt idx="50">
                  <c:v>0.19821303345158603</c:v>
                </c:pt>
                <c:pt idx="51">
                  <c:v>-3.5469691220102275</c:v>
                </c:pt>
                <c:pt idx="52">
                  <c:v>-0.4092118451898164</c:v>
                </c:pt>
                <c:pt idx="53">
                  <c:v>0.24134799172975918</c:v>
                </c:pt>
                <c:pt idx="54">
                  <c:v>1.5330445269936668</c:v>
                </c:pt>
                <c:pt idx="55">
                  <c:v>2.015384664986283</c:v>
                </c:pt>
                <c:pt idx="56">
                  <c:v>2.670537081659428</c:v>
                </c:pt>
                <c:pt idx="57">
                  <c:v>1.223813974752376</c:v>
                </c:pt>
                <c:pt idx="58">
                  <c:v>0.82047992575126694</c:v>
                </c:pt>
                <c:pt idx="59">
                  <c:v>0.96567943136534073</c:v>
                </c:pt>
                <c:pt idx="60">
                  <c:v>-2.6166076094054453</c:v>
                </c:pt>
                <c:pt idx="61">
                  <c:v>0.56901871480579769</c:v>
                </c:pt>
                <c:pt idx="62">
                  <c:v>3.8225978028573926</c:v>
                </c:pt>
                <c:pt idx="63">
                  <c:v>2.7972390521054975</c:v>
                </c:pt>
                <c:pt idx="64">
                  <c:v>-2.1055897159147681</c:v>
                </c:pt>
                <c:pt idx="65">
                  <c:v>-3.7570673566194746</c:v>
                </c:pt>
                <c:pt idx="66">
                  <c:v>0.92229884766760772</c:v>
                </c:pt>
                <c:pt idx="67">
                  <c:v>3.2217318708593403</c:v>
                </c:pt>
                <c:pt idx="68">
                  <c:v>0.87068498178757969</c:v>
                </c:pt>
                <c:pt idx="69">
                  <c:v>-4.6534738523963357</c:v>
                </c:pt>
                <c:pt idx="70">
                  <c:v>-1.0469918972339078</c:v>
                </c:pt>
                <c:pt idx="71">
                  <c:v>-6.5162000200583305</c:v>
                </c:pt>
                <c:pt idx="72">
                  <c:v>-3.7359613351156948</c:v>
                </c:pt>
                <c:pt idx="73">
                  <c:v>-0.41077905018582495</c:v>
                </c:pt>
                <c:pt idx="74">
                  <c:v>4.283249771373538</c:v>
                </c:pt>
                <c:pt idx="75">
                  <c:v>0.83338663794822421</c:v>
                </c:pt>
                <c:pt idx="76">
                  <c:v>-9.3505022727410925</c:v>
                </c:pt>
                <c:pt idx="77">
                  <c:v>-0.70939403372644472</c:v>
                </c:pt>
                <c:pt idx="78">
                  <c:v>1.2940125991418758</c:v>
                </c:pt>
                <c:pt idx="79">
                  <c:v>-10.190850601033652</c:v>
                </c:pt>
                <c:pt idx="80">
                  <c:v>-18.441472446993874</c:v>
                </c:pt>
                <c:pt idx="81">
                  <c:v>-8.6423885180294473</c:v>
                </c:pt>
                <c:pt idx="82">
                  <c:v>1.6028040868597004</c:v>
                </c:pt>
                <c:pt idx="83">
                  <c:v>-9.2754217901624756</c:v>
                </c:pt>
                <c:pt idx="84">
                  <c:v>-12.08602544275578</c:v>
                </c:pt>
                <c:pt idx="85">
                  <c:v>8.3928326685716392</c:v>
                </c:pt>
                <c:pt idx="86">
                  <c:v>9.493735398562885</c:v>
                </c:pt>
                <c:pt idx="87">
                  <c:v>5.6123219381275158</c:v>
                </c:pt>
                <c:pt idx="88">
                  <c:v>-0.2796310790685082</c:v>
                </c:pt>
                <c:pt idx="89">
                  <c:v>7.2512526359756979</c:v>
                </c:pt>
                <c:pt idx="90">
                  <c:v>2.9018448855301462</c:v>
                </c:pt>
                <c:pt idx="91">
                  <c:v>3.4023539545889254</c:v>
                </c:pt>
                <c:pt idx="92">
                  <c:v>-1.7972894762201097</c:v>
                </c:pt>
                <c:pt idx="93">
                  <c:v>5.8718000370119103</c:v>
                </c:pt>
                <c:pt idx="94">
                  <c:v>1.5910323322078297</c:v>
                </c:pt>
                <c:pt idx="95">
                  <c:v>-3.9014999106519812</c:v>
                </c:pt>
                <c:pt idx="96">
                  <c:v>2.8791809576771761</c:v>
                </c:pt>
                <c:pt idx="97">
                  <c:v>5.775840137885341</c:v>
                </c:pt>
                <c:pt idx="98">
                  <c:v>1.4571485363073777</c:v>
                </c:pt>
                <c:pt idx="99">
                  <c:v>-8.9195009517306492</c:v>
                </c:pt>
                <c:pt idx="100">
                  <c:v>-5.3171433821677194</c:v>
                </c:pt>
                <c:pt idx="101">
                  <c:v>7.1372833191807699</c:v>
                </c:pt>
                <c:pt idx="102">
                  <c:v>-5.3742235809649603</c:v>
                </c:pt>
                <c:pt idx="103">
                  <c:v>8.5436546301938474</c:v>
                </c:pt>
                <c:pt idx="104">
                  <c:v>3.6148404441445523</c:v>
                </c:pt>
                <c:pt idx="105">
                  <c:v>6.3366955869381084E-2</c:v>
                </c:pt>
                <c:pt idx="106">
                  <c:v>5.8012320615256296</c:v>
                </c:pt>
                <c:pt idx="107">
                  <c:v>2.462929912306798</c:v>
                </c:pt>
                <c:pt idx="108">
                  <c:v>3.0072199610088246</c:v>
                </c:pt>
                <c:pt idx="109">
                  <c:v>5.4866599667333676E-2</c:v>
                </c:pt>
                <c:pt idx="110">
                  <c:v>2.6470361095660309</c:v>
                </c:pt>
                <c:pt idx="111">
                  <c:v>-1.4798903265796055</c:v>
                </c:pt>
                <c:pt idx="112">
                  <c:v>-1.8459518851290648</c:v>
                </c:pt>
                <c:pt idx="113">
                  <c:v>-2.1501881105938678</c:v>
                </c:pt>
                <c:pt idx="114">
                  <c:v>-5.8535314936121319</c:v>
                </c:pt>
                <c:pt idx="115">
                  <c:v>-7.4849794417011921</c:v>
                </c:pt>
                <c:pt idx="116">
                  <c:v>10.063874300363663</c:v>
                </c:pt>
                <c:pt idx="117">
                  <c:v>-0.32830466731329472</c:v>
                </c:pt>
                <c:pt idx="118">
                  <c:v>0.95296861206768169</c:v>
                </c:pt>
                <c:pt idx="119">
                  <c:v>4.1664044586163467</c:v>
                </c:pt>
                <c:pt idx="120">
                  <c:v>3.9842987412393089</c:v>
                </c:pt>
                <c:pt idx="121">
                  <c:v>3.0623751999005617</c:v>
                </c:pt>
                <c:pt idx="122">
                  <c:v>-0.76281699251177826</c:v>
                </c:pt>
                <c:pt idx="123">
                  <c:v>-6.508959317437772</c:v>
                </c:pt>
                <c:pt idx="124">
                  <c:v>3.9193545000562962</c:v>
                </c:pt>
                <c:pt idx="125">
                  <c:v>1.2310814788954465</c:v>
                </c:pt>
                <c:pt idx="126">
                  <c:v>1.9458897372981723</c:v>
                </c:pt>
                <c:pt idx="127">
                  <c:v>2.4043452686790241</c:v>
                </c:pt>
                <c:pt idx="128">
                  <c:v>-2.0202530943867059</c:v>
                </c:pt>
                <c:pt idx="129">
                  <c:v>0.28523180353572275</c:v>
                </c:pt>
                <c:pt idx="130">
                  <c:v>0.68721228080358765</c:v>
                </c:pt>
                <c:pt idx="131">
                  <c:v>4.9139458715591955</c:v>
                </c:pt>
                <c:pt idx="132">
                  <c:v>1.0916594218532338</c:v>
                </c:pt>
                <c:pt idx="133">
                  <c:v>3.527399315697588</c:v>
                </c:pt>
                <c:pt idx="134">
                  <c:v>1.7868012019289374</c:v>
                </c:pt>
                <c:pt idx="135">
                  <c:v>2.1123951082768992</c:v>
                </c:pt>
                <c:pt idx="136">
                  <c:v>-1.3572645727413182</c:v>
                </c:pt>
                <c:pt idx="137">
                  <c:v>4.8254425763231996</c:v>
                </c:pt>
                <c:pt idx="138">
                  <c:v>-3.2194988727198224</c:v>
                </c:pt>
                <c:pt idx="139">
                  <c:v>2.7986997406494578</c:v>
                </c:pt>
                <c:pt idx="140">
                  <c:v>4.4305895744551611</c:v>
                </c:pt>
                <c:pt idx="141">
                  <c:v>2.6785770944088436</c:v>
                </c:pt>
                <c:pt idx="142">
                  <c:v>2.1467975915643116</c:v>
                </c:pt>
                <c:pt idx="143">
                  <c:v>-3.4860738491773717</c:v>
                </c:pt>
                <c:pt idx="144">
                  <c:v>4.1168879491496835</c:v>
                </c:pt>
                <c:pt idx="145">
                  <c:v>0.86837249682221063</c:v>
                </c:pt>
                <c:pt idx="146">
                  <c:v>0.55253510011688867</c:v>
                </c:pt>
                <c:pt idx="147">
                  <c:v>2.0709610733356594</c:v>
                </c:pt>
                <c:pt idx="148">
                  <c:v>1.9740065326586282</c:v>
                </c:pt>
                <c:pt idx="149">
                  <c:v>-1.6720782458769428</c:v>
                </c:pt>
                <c:pt idx="150">
                  <c:v>3.7738689811750628</c:v>
                </c:pt>
                <c:pt idx="151">
                  <c:v>-1.6432542208666832</c:v>
                </c:pt>
                <c:pt idx="152">
                  <c:v>2.3430083690481931</c:v>
                </c:pt>
                <c:pt idx="153">
                  <c:v>2.3280265813537011</c:v>
                </c:pt>
                <c:pt idx="154">
                  <c:v>-0.33610811001525198</c:v>
                </c:pt>
                <c:pt idx="155">
                  <c:v>-3.0715997058701054</c:v>
                </c:pt>
                <c:pt idx="156">
                  <c:v>5.2927233713019524</c:v>
                </c:pt>
                <c:pt idx="157">
                  <c:v>-1.8046748099037104</c:v>
                </c:pt>
                <c:pt idx="158">
                  <c:v>0.94900011185346711</c:v>
                </c:pt>
                <c:pt idx="159">
                  <c:v>1.0116837493688986</c:v>
                </c:pt>
                <c:pt idx="160">
                  <c:v>-1.9961525136868954</c:v>
                </c:pt>
                <c:pt idx="161">
                  <c:v>1.7949872043323196</c:v>
                </c:pt>
                <c:pt idx="162">
                  <c:v>-6.6052276348838266</c:v>
                </c:pt>
                <c:pt idx="163">
                  <c:v>-2.5952986135958938</c:v>
                </c:pt>
                <c:pt idx="164">
                  <c:v>8.05736594730209</c:v>
                </c:pt>
                <c:pt idx="165">
                  <c:v>9.3397395980225312E-2</c:v>
                </c:pt>
                <c:pt idx="166">
                  <c:v>-2.1900148986011501</c:v>
                </c:pt>
                <c:pt idx="167">
                  <c:v>-5.1174330289292529</c:v>
                </c:pt>
                <c:pt idx="168">
                  <c:v>-1.8088168547485874E-2</c:v>
                </c:pt>
                <c:pt idx="169">
                  <c:v>5.9627086046743205</c:v>
                </c:pt>
                <c:pt idx="170">
                  <c:v>0.49249022739147275</c:v>
                </c:pt>
                <c:pt idx="171">
                  <c:v>1.263361284862885</c:v>
                </c:pt>
                <c:pt idx="172">
                  <c:v>0.23506209687665844</c:v>
                </c:pt>
                <c:pt idx="173">
                  <c:v>3.43046312533271</c:v>
                </c:pt>
                <c:pt idx="174">
                  <c:v>-0.10877638358627509</c:v>
                </c:pt>
                <c:pt idx="175">
                  <c:v>-0.34707048432618487</c:v>
                </c:pt>
                <c:pt idx="176">
                  <c:v>-1.6883843413758901</c:v>
                </c:pt>
                <c:pt idx="177">
                  <c:v>3.2657557292321324</c:v>
                </c:pt>
                <c:pt idx="178">
                  <c:v>2.2668186207176784</c:v>
                </c:pt>
                <c:pt idx="179">
                  <c:v>1.4563121013323732</c:v>
                </c:pt>
                <c:pt idx="180">
                  <c:v>4.00891570085704</c:v>
                </c:pt>
                <c:pt idx="181">
                  <c:v>-0.81273684076211627</c:v>
                </c:pt>
                <c:pt idx="182">
                  <c:v>1.0337863372076641</c:v>
                </c:pt>
                <c:pt idx="183">
                  <c:v>1.0552807611911439</c:v>
                </c:pt>
                <c:pt idx="184">
                  <c:v>0.56613714734344966</c:v>
                </c:pt>
                <c:pt idx="185">
                  <c:v>1.7717161071854046</c:v>
                </c:pt>
                <c:pt idx="186">
                  <c:v>-0.19409004040216499</c:v>
                </c:pt>
                <c:pt idx="187">
                  <c:v>1.7853965620570391</c:v>
                </c:pt>
                <c:pt idx="188">
                  <c:v>2.3389503969522889</c:v>
                </c:pt>
                <c:pt idx="189">
                  <c:v>2.2634445637441067</c:v>
                </c:pt>
                <c:pt idx="190">
                  <c:v>1.3382034976546096</c:v>
                </c:pt>
                <c:pt idx="191">
                  <c:v>4.7077932129058331</c:v>
                </c:pt>
                <c:pt idx="192">
                  <c:v>-3.7929238537473915</c:v>
                </c:pt>
              </c:numCache>
            </c:numRef>
          </c:xVal>
          <c:yVal>
            <c:numRef>
              <c:f>capm_regressao!$N$3:$N$195</c:f>
              <c:numCache>
                <c:formatCode>General</c:formatCode>
                <c:ptCount val="193"/>
                <c:pt idx="0">
                  <c:v>-8.9520238355488022</c:v>
                </c:pt>
                <c:pt idx="1">
                  <c:v>3.1684996185315768</c:v>
                </c:pt>
                <c:pt idx="2">
                  <c:v>-14.472507213594621</c:v>
                </c:pt>
                <c:pt idx="3">
                  <c:v>-2.7638520574700318</c:v>
                </c:pt>
                <c:pt idx="4">
                  <c:v>7.0362674847024431</c:v>
                </c:pt>
                <c:pt idx="5">
                  <c:v>-13.250445201638707</c:v>
                </c:pt>
                <c:pt idx="6">
                  <c:v>2.1292403180957695</c:v>
                </c:pt>
                <c:pt idx="7">
                  <c:v>-11.657193295248176</c:v>
                </c:pt>
                <c:pt idx="8">
                  <c:v>19.951605872476694</c:v>
                </c:pt>
                <c:pt idx="9">
                  <c:v>7.4748039945235609</c:v>
                </c:pt>
                <c:pt idx="10">
                  <c:v>-11.046104479564349</c:v>
                </c:pt>
                <c:pt idx="11">
                  <c:v>-8.6562197173432605</c:v>
                </c:pt>
                <c:pt idx="12">
                  <c:v>-0.22566467791614686</c:v>
                </c:pt>
                <c:pt idx="13">
                  <c:v>2.0332305976209692</c:v>
                </c:pt>
                <c:pt idx="14">
                  <c:v>5.3695726325041431</c:v>
                </c:pt>
                <c:pt idx="15">
                  <c:v>-3.91752175995763</c:v>
                </c:pt>
                <c:pt idx="16">
                  <c:v>4.0217354680722712</c:v>
                </c:pt>
                <c:pt idx="17">
                  <c:v>2.8822466591465674</c:v>
                </c:pt>
                <c:pt idx="18">
                  <c:v>0.33481056752875621</c:v>
                </c:pt>
                <c:pt idx="19">
                  <c:v>4.6336819407705896</c:v>
                </c:pt>
                <c:pt idx="20">
                  <c:v>-6.2352648118172915</c:v>
                </c:pt>
                <c:pt idx="21">
                  <c:v>-1.7378354224768806</c:v>
                </c:pt>
                <c:pt idx="22">
                  <c:v>6.1809243873181412</c:v>
                </c:pt>
                <c:pt idx="23">
                  <c:v>0.94281683794031856</c:v>
                </c:pt>
                <c:pt idx="24">
                  <c:v>-4.2132855458852063</c:v>
                </c:pt>
                <c:pt idx="25">
                  <c:v>-6.2995974974025204</c:v>
                </c:pt>
                <c:pt idx="26">
                  <c:v>4.6212143726866337</c:v>
                </c:pt>
                <c:pt idx="27">
                  <c:v>0.29530859497826945</c:v>
                </c:pt>
                <c:pt idx="28">
                  <c:v>8.4028308578595112</c:v>
                </c:pt>
                <c:pt idx="29">
                  <c:v>-0.35872872808938855</c:v>
                </c:pt>
                <c:pt idx="30">
                  <c:v>-4.3916482948940132</c:v>
                </c:pt>
                <c:pt idx="31">
                  <c:v>1.1339062407466964</c:v>
                </c:pt>
                <c:pt idx="32">
                  <c:v>1.0015076826265226</c:v>
                </c:pt>
                <c:pt idx="33">
                  <c:v>-4.4115889846256886</c:v>
                </c:pt>
                <c:pt idx="34">
                  <c:v>-0.52126037050575569</c:v>
                </c:pt>
                <c:pt idx="35">
                  <c:v>-1.8579079575135271</c:v>
                </c:pt>
                <c:pt idx="36">
                  <c:v>-4.570279983591961</c:v>
                </c:pt>
                <c:pt idx="37">
                  <c:v>-4.2476570450181406</c:v>
                </c:pt>
                <c:pt idx="38">
                  <c:v>4.3325494825723636</c:v>
                </c:pt>
                <c:pt idx="39">
                  <c:v>1.7153430293432297</c:v>
                </c:pt>
                <c:pt idx="40">
                  <c:v>-4.0452529435936393</c:v>
                </c:pt>
                <c:pt idx="41">
                  <c:v>2.7786015526735559</c:v>
                </c:pt>
                <c:pt idx="42">
                  <c:v>6.389651074527908</c:v>
                </c:pt>
                <c:pt idx="43">
                  <c:v>-6.506349037697321</c:v>
                </c:pt>
                <c:pt idx="44">
                  <c:v>-0.43249288153069476</c:v>
                </c:pt>
                <c:pt idx="45">
                  <c:v>7.0910766604456201</c:v>
                </c:pt>
                <c:pt idx="46">
                  <c:v>-6.016927357187023</c:v>
                </c:pt>
                <c:pt idx="47">
                  <c:v>7.0081497408100804</c:v>
                </c:pt>
                <c:pt idx="48">
                  <c:v>-5.0320228075407245</c:v>
                </c:pt>
                <c:pt idx="49">
                  <c:v>0.87157228670010789</c:v>
                </c:pt>
                <c:pt idx="50">
                  <c:v>-12.323346927871153</c:v>
                </c:pt>
                <c:pt idx="51">
                  <c:v>-6.8157861502872006</c:v>
                </c:pt>
                <c:pt idx="52">
                  <c:v>2.419346572415606</c:v>
                </c:pt>
                <c:pt idx="53">
                  <c:v>2.786401799723992</c:v>
                </c:pt>
                <c:pt idx="54">
                  <c:v>6.1698695161240238</c:v>
                </c:pt>
                <c:pt idx="55">
                  <c:v>5.811716472297781</c:v>
                </c:pt>
                <c:pt idx="56">
                  <c:v>4.4320597100579135</c:v>
                </c:pt>
                <c:pt idx="57">
                  <c:v>1.8162778504357189</c:v>
                </c:pt>
                <c:pt idx="58">
                  <c:v>1.2744921127735638</c:v>
                </c:pt>
                <c:pt idx="59">
                  <c:v>2.8682720405425886</c:v>
                </c:pt>
                <c:pt idx="60">
                  <c:v>-9.5503297451140003</c:v>
                </c:pt>
                <c:pt idx="61">
                  <c:v>-1.4940037846882994</c:v>
                </c:pt>
                <c:pt idx="62">
                  <c:v>6.7469535016883686</c:v>
                </c:pt>
                <c:pt idx="63">
                  <c:v>2.0683155490599168</c:v>
                </c:pt>
                <c:pt idx="64">
                  <c:v>-4.4514138398758032</c:v>
                </c:pt>
                <c:pt idx="65">
                  <c:v>-2.0555153216559088</c:v>
                </c:pt>
                <c:pt idx="66">
                  <c:v>-1.2609069942365858</c:v>
                </c:pt>
                <c:pt idx="67">
                  <c:v>2.1766504098954211</c:v>
                </c:pt>
                <c:pt idx="68">
                  <c:v>21.940286413397452</c:v>
                </c:pt>
                <c:pt idx="69">
                  <c:v>-9.4035233778779688</c:v>
                </c:pt>
                <c:pt idx="70">
                  <c:v>5.5261240899527282</c:v>
                </c:pt>
                <c:pt idx="71">
                  <c:v>-9.0383354655241064</c:v>
                </c:pt>
                <c:pt idx="72">
                  <c:v>-18.290355028964331</c:v>
                </c:pt>
                <c:pt idx="73">
                  <c:v>4.1400959762490723</c:v>
                </c:pt>
                <c:pt idx="74">
                  <c:v>0.38292923836141401</c:v>
                </c:pt>
                <c:pt idx="75">
                  <c:v>-0.85039933872428697</c:v>
                </c:pt>
                <c:pt idx="76">
                  <c:v>-3.059369388903582</c:v>
                </c:pt>
                <c:pt idx="77">
                  <c:v>-6.8664047780647488</c:v>
                </c:pt>
                <c:pt idx="78">
                  <c:v>5.7793177541203091</c:v>
                </c:pt>
                <c:pt idx="79">
                  <c:v>-2.3189703813390654</c:v>
                </c:pt>
                <c:pt idx="80">
                  <c:v>-17.893293503158173</c:v>
                </c:pt>
                <c:pt idx="81">
                  <c:v>-9.9417235049059673</c:v>
                </c:pt>
                <c:pt idx="82">
                  <c:v>-3.9364313663719233</c:v>
                </c:pt>
                <c:pt idx="83">
                  <c:v>-12.836272029733999</c:v>
                </c:pt>
                <c:pt idx="84">
                  <c:v>-5.7408413839948755</c:v>
                </c:pt>
                <c:pt idx="85">
                  <c:v>12.861557066161525</c:v>
                </c:pt>
                <c:pt idx="86">
                  <c:v>9.7796211823590014</c:v>
                </c:pt>
                <c:pt idx="87">
                  <c:v>3.0472028878141715</c:v>
                </c:pt>
                <c:pt idx="88">
                  <c:v>12.90037536734234</c:v>
                </c:pt>
                <c:pt idx="89">
                  <c:v>-1.0723158341676335</c:v>
                </c:pt>
                <c:pt idx="90">
                  <c:v>4.6784110791606226</c:v>
                </c:pt>
                <c:pt idx="91">
                  <c:v>4.2391960000469959</c:v>
                </c:pt>
                <c:pt idx="92">
                  <c:v>7.5187665805184221</c:v>
                </c:pt>
                <c:pt idx="93">
                  <c:v>5.8778226271550285</c:v>
                </c:pt>
                <c:pt idx="94">
                  <c:v>3.5694311585875176</c:v>
                </c:pt>
                <c:pt idx="95">
                  <c:v>-7.8508224347911417</c:v>
                </c:pt>
                <c:pt idx="96">
                  <c:v>1.7147106758077633</c:v>
                </c:pt>
                <c:pt idx="97">
                  <c:v>2.126991508570808</c:v>
                </c:pt>
                <c:pt idx="98">
                  <c:v>4.1657804220108083</c:v>
                </c:pt>
                <c:pt idx="99">
                  <c:v>-16.879621269988053</c:v>
                </c:pt>
                <c:pt idx="100">
                  <c:v>-11.454554912060651</c:v>
                </c:pt>
                <c:pt idx="101">
                  <c:v>11.469973760524136</c:v>
                </c:pt>
                <c:pt idx="102">
                  <c:v>-9.5172341063835404</c:v>
                </c:pt>
                <c:pt idx="103">
                  <c:v>4.2416903708729103</c:v>
                </c:pt>
                <c:pt idx="104">
                  <c:v>8.5166133896513223</c:v>
                </c:pt>
                <c:pt idx="105">
                  <c:v>-5.4433887938244485</c:v>
                </c:pt>
                <c:pt idx="106">
                  <c:v>9.964626395921897</c:v>
                </c:pt>
                <c:pt idx="107">
                  <c:v>-0.65951879205440755</c:v>
                </c:pt>
                <c:pt idx="108">
                  <c:v>-4.246413967592086</c:v>
                </c:pt>
                <c:pt idx="109">
                  <c:v>-4.5887030287431099</c:v>
                </c:pt>
                <c:pt idx="110">
                  <c:v>2.0609515153072593</c:v>
                </c:pt>
                <c:pt idx="111">
                  <c:v>-3.5772459927879554</c:v>
                </c:pt>
                <c:pt idx="112">
                  <c:v>3.8787459798621029</c:v>
                </c:pt>
                <c:pt idx="113">
                  <c:v>5.2413142039209193</c:v>
                </c:pt>
                <c:pt idx="114">
                  <c:v>-2.9648464273037667</c:v>
                </c:pt>
                <c:pt idx="115">
                  <c:v>-6.6453472918264787</c:v>
                </c:pt>
                <c:pt idx="116">
                  <c:v>6.7555619404818046</c:v>
                </c:pt>
                <c:pt idx="117">
                  <c:v>-4.0235899456843507</c:v>
                </c:pt>
                <c:pt idx="118">
                  <c:v>1.473772383105747</c:v>
                </c:pt>
                <c:pt idx="119">
                  <c:v>12.882487630461066</c:v>
                </c:pt>
                <c:pt idx="120">
                  <c:v>7.2095985478565021</c:v>
                </c:pt>
                <c:pt idx="121">
                  <c:v>1.6183628935851027</c:v>
                </c:pt>
                <c:pt idx="122">
                  <c:v>-0.75339697988787013</c:v>
                </c:pt>
                <c:pt idx="123">
                  <c:v>-9.2609488444238348</c:v>
                </c:pt>
                <c:pt idx="124">
                  <c:v>4.6771939038481749</c:v>
                </c:pt>
                <c:pt idx="125">
                  <c:v>-3.7383728679355661</c:v>
                </c:pt>
                <c:pt idx="126">
                  <c:v>4.470773374184648</c:v>
                </c:pt>
                <c:pt idx="127">
                  <c:v>-3.5090286593745215</c:v>
                </c:pt>
                <c:pt idx="128">
                  <c:v>-4.1941896210992367</c:v>
                </c:pt>
                <c:pt idx="129">
                  <c:v>-6.9718796554527351</c:v>
                </c:pt>
                <c:pt idx="130">
                  <c:v>0.33168058166691372</c:v>
                </c:pt>
                <c:pt idx="131">
                  <c:v>2.726988136937079</c:v>
                </c:pt>
                <c:pt idx="132">
                  <c:v>1.2586447006622845</c:v>
                </c:pt>
                <c:pt idx="133">
                  <c:v>2.8645357289464286</c:v>
                </c:pt>
                <c:pt idx="134">
                  <c:v>14.572687994522262</c:v>
                </c:pt>
                <c:pt idx="135">
                  <c:v>5.2920331221582133</c:v>
                </c:pt>
                <c:pt idx="136">
                  <c:v>-1.0410451511164995</c:v>
                </c:pt>
                <c:pt idx="137">
                  <c:v>-8.142807402762287</c:v>
                </c:pt>
                <c:pt idx="138">
                  <c:v>4.779926555337692</c:v>
                </c:pt>
                <c:pt idx="139">
                  <c:v>-0.36160406246287818</c:v>
                </c:pt>
                <c:pt idx="140">
                  <c:v>6.1996013552215308</c:v>
                </c:pt>
                <c:pt idx="141">
                  <c:v>7.394880063839512</c:v>
                </c:pt>
                <c:pt idx="142">
                  <c:v>-1.9121685068819338</c:v>
                </c:pt>
                <c:pt idx="143">
                  <c:v>1.1395362490289516</c:v>
                </c:pt>
                <c:pt idx="144">
                  <c:v>1.2302573965058188</c:v>
                </c:pt>
                <c:pt idx="145">
                  <c:v>6.7575531826564212</c:v>
                </c:pt>
                <c:pt idx="146">
                  <c:v>-1.4523348836579668</c:v>
                </c:pt>
                <c:pt idx="147">
                  <c:v>1.3252721335100346</c:v>
                </c:pt>
                <c:pt idx="148">
                  <c:v>1.8360263645083661</c:v>
                </c:pt>
                <c:pt idx="149">
                  <c:v>3.4387987604363013</c:v>
                </c:pt>
                <c:pt idx="150">
                  <c:v>5.1233539381378117</c:v>
                </c:pt>
                <c:pt idx="151">
                  <c:v>2.0247693603891399</c:v>
                </c:pt>
                <c:pt idx="152">
                  <c:v>1.2629520244989687</c:v>
                </c:pt>
                <c:pt idx="153">
                  <c:v>1.8134949933945208</c:v>
                </c:pt>
                <c:pt idx="154">
                  <c:v>-2.8883356765765464</c:v>
                </c:pt>
                <c:pt idx="155">
                  <c:v>-13.957165231631896</c:v>
                </c:pt>
                <c:pt idx="156">
                  <c:v>8.1928172069436425</c:v>
                </c:pt>
                <c:pt idx="157">
                  <c:v>-7.5554865007956353</c:v>
                </c:pt>
                <c:pt idx="158">
                  <c:v>17.918474223183367</c:v>
                </c:pt>
                <c:pt idx="159">
                  <c:v>-3.729842934555605</c:v>
                </c:pt>
                <c:pt idx="160">
                  <c:v>-5.958814873639696</c:v>
                </c:pt>
                <c:pt idx="161">
                  <c:v>5.6126213738046378</c:v>
                </c:pt>
                <c:pt idx="162">
                  <c:v>-7.0581916873773762</c:v>
                </c:pt>
                <c:pt idx="163">
                  <c:v>1.6844020221020481</c:v>
                </c:pt>
                <c:pt idx="164">
                  <c:v>17.337831191806018</c:v>
                </c:pt>
                <c:pt idx="165">
                  <c:v>3.1859975415255257</c:v>
                </c:pt>
                <c:pt idx="166">
                  <c:v>2.0386352011274314</c:v>
                </c:pt>
                <c:pt idx="167">
                  <c:v>-0.72710506286721888</c:v>
                </c:pt>
                <c:pt idx="168">
                  <c:v>-7.9756606132003993</c:v>
                </c:pt>
                <c:pt idx="169">
                  <c:v>8.178634522714157</c:v>
                </c:pt>
                <c:pt idx="170">
                  <c:v>-10.227835107386742</c:v>
                </c:pt>
                <c:pt idx="171">
                  <c:v>6.0638980712893025</c:v>
                </c:pt>
                <c:pt idx="172">
                  <c:v>-3.5363529820523825</c:v>
                </c:pt>
                <c:pt idx="173">
                  <c:v>10.201803109088162</c:v>
                </c:pt>
                <c:pt idx="174">
                  <c:v>1.3417621325252587</c:v>
                </c:pt>
                <c:pt idx="175">
                  <c:v>0.21918301652237573</c:v>
                </c:pt>
                <c:pt idx="176">
                  <c:v>3.9212772851503672</c:v>
                </c:pt>
                <c:pt idx="177">
                  <c:v>0.52831946815161068</c:v>
                </c:pt>
                <c:pt idx="178">
                  <c:v>3.0296387359564871</c:v>
                </c:pt>
                <c:pt idx="179">
                  <c:v>3.9164914948133509</c:v>
                </c:pt>
                <c:pt idx="180">
                  <c:v>-1.0859268298969014</c:v>
                </c:pt>
                <c:pt idx="181">
                  <c:v>2.8335757610569181</c:v>
                </c:pt>
                <c:pt idx="182">
                  <c:v>3.8043326363028251</c:v>
                </c:pt>
                <c:pt idx="183">
                  <c:v>1.9207235762607298</c:v>
                </c:pt>
                <c:pt idx="184">
                  <c:v>-1.3948690693349339</c:v>
                </c:pt>
                <c:pt idx="185">
                  <c:v>5.2341513043104353</c:v>
                </c:pt>
                <c:pt idx="186">
                  <c:v>2.7217018281447953</c:v>
                </c:pt>
                <c:pt idx="187">
                  <c:v>-0.46268335498364005</c:v>
                </c:pt>
                <c:pt idx="188">
                  <c:v>10.943373964248931</c:v>
                </c:pt>
                <c:pt idx="189">
                  <c:v>1.0789938480616996</c:v>
                </c:pt>
                <c:pt idx="190">
                  <c:v>1.5028908360483872</c:v>
                </c:pt>
                <c:pt idx="191">
                  <c:v>10.380638911320712</c:v>
                </c:pt>
                <c:pt idx="192">
                  <c:v>-1.446222683071505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BD5-45ED-8143-CB3D7C11C1D4}"/>
            </c:ext>
          </c:extLst>
        </c:ser>
        <c:ser>
          <c:idx val="1"/>
          <c:order val="1"/>
          <c:tx>
            <c:strRef>
              <c:f>'regressao via solver'!$D$2</c:f>
              <c:strCache>
                <c:ptCount val="1"/>
                <c:pt idx="0">
                  <c:v>Y previsto</c:v>
                </c:pt>
              </c:strCache>
            </c:strRef>
          </c:tx>
          <c:spPr>
            <a:ln w="19050">
              <a:noFill/>
            </a:ln>
          </c:spPr>
          <c:xVal>
            <c:numRef>
              <c:f>'regressao via solver'!$D$3:$D$195</c:f>
              <c:numCache>
                <c:formatCode>General</c:formatCode>
                <c:ptCount val="19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</c:numCache>
            </c:numRef>
          </c:xVal>
          <c:yVal>
            <c:numRef>
              <c:f>'regressao via solver'!$A$3:$A$195</c:f>
              <c:numCache>
                <c:formatCode>General</c:formatCode>
                <c:ptCount val="193"/>
                <c:pt idx="0">
                  <c:v>-2.2451528057930092</c:v>
                </c:pt>
                <c:pt idx="1">
                  <c:v>3.4555107397161984</c:v>
                </c:pt>
                <c:pt idx="2">
                  <c:v>-6.4842988333636589</c:v>
                </c:pt>
                <c:pt idx="3">
                  <c:v>-1.0589635764789014</c:v>
                </c:pt>
                <c:pt idx="4">
                  <c:v>-7.6656016926842243</c:v>
                </c:pt>
                <c:pt idx="5">
                  <c:v>-8.3724884394633428</c:v>
                </c:pt>
                <c:pt idx="6">
                  <c:v>0.34945575163946452</c:v>
                </c:pt>
                <c:pt idx="7">
                  <c:v>-11.794447385193637</c:v>
                </c:pt>
                <c:pt idx="8">
                  <c:v>8.1572730081229423</c:v>
                </c:pt>
                <c:pt idx="9">
                  <c:v>5.4458904583661161</c:v>
                </c:pt>
                <c:pt idx="10">
                  <c:v>-6.3237600370991265</c:v>
                </c:pt>
                <c:pt idx="11">
                  <c:v>-2.8789154270656181</c:v>
                </c:pt>
                <c:pt idx="12">
                  <c:v>-1.8141496416746652</c:v>
                </c:pt>
                <c:pt idx="13">
                  <c:v>0.7364504134164972</c:v>
                </c:pt>
                <c:pt idx="14">
                  <c:v>7.6969006408777778</c:v>
                </c:pt>
                <c:pt idx="15">
                  <c:v>4.8737378716500857</c:v>
                </c:pt>
                <c:pt idx="16">
                  <c:v>1.0475264657303327</c:v>
                </c:pt>
                <c:pt idx="17">
                  <c:v>1.5326837792537389</c:v>
                </c:pt>
                <c:pt idx="18">
                  <c:v>1.6907022397408966</c:v>
                </c:pt>
                <c:pt idx="19">
                  <c:v>-1.2816271605865484</c:v>
                </c:pt>
                <c:pt idx="20">
                  <c:v>5.2720927131197364</c:v>
                </c:pt>
                <c:pt idx="21">
                  <c:v>0.63115495020902768</c:v>
                </c:pt>
                <c:pt idx="22">
                  <c:v>4.8760651849376648</c:v>
                </c:pt>
                <c:pt idx="23">
                  <c:v>1.6378847112134101</c:v>
                </c:pt>
                <c:pt idx="24">
                  <c:v>1.1351711544348333</c:v>
                </c:pt>
                <c:pt idx="25">
                  <c:v>-1.728587043499126</c:v>
                </c:pt>
                <c:pt idx="26">
                  <c:v>-1.7733314613340048</c:v>
                </c:pt>
                <c:pt idx="27">
                  <c:v>1.1144361472144231</c:v>
                </c:pt>
                <c:pt idx="28">
                  <c:v>1.6754111261681308</c:v>
                </c:pt>
                <c:pt idx="29">
                  <c:v>-3.6025568068539666</c:v>
                </c:pt>
                <c:pt idx="30">
                  <c:v>0.10347378381895284</c:v>
                </c:pt>
                <c:pt idx="31">
                  <c:v>0.79203063814545882</c:v>
                </c:pt>
                <c:pt idx="32">
                  <c:v>1.2425285333141876</c:v>
                </c:pt>
                <c:pt idx="33">
                  <c:v>3.607643683386204</c:v>
                </c:pt>
                <c:pt idx="34">
                  <c:v>3.0126580148315178</c:v>
                </c:pt>
                <c:pt idx="35">
                  <c:v>-2.7590767343611891</c:v>
                </c:pt>
                <c:pt idx="36">
                  <c:v>1.657689800322802</c:v>
                </c:pt>
                <c:pt idx="37">
                  <c:v>-2.1636094446842411</c:v>
                </c:pt>
                <c:pt idx="38">
                  <c:v>-2.2680177961168311</c:v>
                </c:pt>
                <c:pt idx="39">
                  <c:v>2.7095577464430542</c:v>
                </c:pt>
                <c:pt idx="40">
                  <c:v>-0.26760577437432975</c:v>
                </c:pt>
                <c:pt idx="41">
                  <c:v>3.2594865885320532</c:v>
                </c:pt>
                <c:pt idx="42">
                  <c:v>-1.4218881115260396</c:v>
                </c:pt>
                <c:pt idx="43">
                  <c:v>0.4016658163277988</c:v>
                </c:pt>
                <c:pt idx="44">
                  <c:v>-2.1058367376102862</c:v>
                </c:pt>
                <c:pt idx="45">
                  <c:v>3.1272880052061129</c:v>
                </c:pt>
                <c:pt idx="46">
                  <c:v>-0.42611360981761698</c:v>
                </c:pt>
                <c:pt idx="47">
                  <c:v>2.1531228948259686</c:v>
                </c:pt>
                <c:pt idx="48">
                  <c:v>-0.33302783475186987</c:v>
                </c:pt>
                <c:pt idx="49">
                  <c:v>1.3343272649558273</c:v>
                </c:pt>
                <c:pt idx="50">
                  <c:v>0.19821303345158603</c:v>
                </c:pt>
                <c:pt idx="51">
                  <c:v>-3.5469691220102275</c:v>
                </c:pt>
                <c:pt idx="52">
                  <c:v>-0.4092118451898164</c:v>
                </c:pt>
                <c:pt idx="53">
                  <c:v>0.24134799172975918</c:v>
                </c:pt>
                <c:pt idx="54">
                  <c:v>1.5330445269936668</c:v>
                </c:pt>
                <c:pt idx="55">
                  <c:v>2.015384664986283</c:v>
                </c:pt>
                <c:pt idx="56">
                  <c:v>2.670537081659428</c:v>
                </c:pt>
                <c:pt idx="57">
                  <c:v>1.223813974752376</c:v>
                </c:pt>
                <c:pt idx="58">
                  <c:v>0.82047992575126694</c:v>
                </c:pt>
                <c:pt idx="59">
                  <c:v>0.96567943136534073</c:v>
                </c:pt>
                <c:pt idx="60">
                  <c:v>-2.6166076094054453</c:v>
                </c:pt>
                <c:pt idx="61">
                  <c:v>0.56901871480579769</c:v>
                </c:pt>
                <c:pt idx="62">
                  <c:v>3.8225978028573926</c:v>
                </c:pt>
                <c:pt idx="63">
                  <c:v>2.7972390521054975</c:v>
                </c:pt>
                <c:pt idx="64">
                  <c:v>-2.1055897159147681</c:v>
                </c:pt>
                <c:pt idx="65">
                  <c:v>-3.7570673566194746</c:v>
                </c:pt>
                <c:pt idx="66">
                  <c:v>0.92229884766760772</c:v>
                </c:pt>
                <c:pt idx="67">
                  <c:v>3.2217318708593403</c:v>
                </c:pt>
                <c:pt idx="68">
                  <c:v>0.87068498178757969</c:v>
                </c:pt>
                <c:pt idx="69">
                  <c:v>-4.6534738523963357</c:v>
                </c:pt>
                <c:pt idx="70">
                  <c:v>-1.0469918972339078</c:v>
                </c:pt>
                <c:pt idx="71">
                  <c:v>-6.5162000200583305</c:v>
                </c:pt>
                <c:pt idx="72">
                  <c:v>-3.7359613351156948</c:v>
                </c:pt>
                <c:pt idx="73">
                  <c:v>-0.41077905018582495</c:v>
                </c:pt>
                <c:pt idx="74">
                  <c:v>4.283249771373538</c:v>
                </c:pt>
                <c:pt idx="75">
                  <c:v>0.83338663794822421</c:v>
                </c:pt>
                <c:pt idx="76">
                  <c:v>-9.3505022727410925</c:v>
                </c:pt>
                <c:pt idx="77">
                  <c:v>-0.70939403372644472</c:v>
                </c:pt>
                <c:pt idx="78">
                  <c:v>1.2940125991418758</c:v>
                </c:pt>
                <c:pt idx="79">
                  <c:v>-10.190850601033652</c:v>
                </c:pt>
                <c:pt idx="80">
                  <c:v>-18.441472446993874</c:v>
                </c:pt>
                <c:pt idx="81">
                  <c:v>-8.6423885180294473</c:v>
                </c:pt>
                <c:pt idx="82">
                  <c:v>1.6028040868597004</c:v>
                </c:pt>
                <c:pt idx="83">
                  <c:v>-9.2754217901624756</c:v>
                </c:pt>
                <c:pt idx="84">
                  <c:v>-12.08602544275578</c:v>
                </c:pt>
                <c:pt idx="85">
                  <c:v>8.3928326685716392</c:v>
                </c:pt>
                <c:pt idx="86">
                  <c:v>9.493735398562885</c:v>
                </c:pt>
                <c:pt idx="87">
                  <c:v>5.6123219381275158</c:v>
                </c:pt>
                <c:pt idx="88">
                  <c:v>-0.2796310790685082</c:v>
                </c:pt>
                <c:pt idx="89">
                  <c:v>7.2512526359756979</c:v>
                </c:pt>
                <c:pt idx="90">
                  <c:v>2.9018448855301462</c:v>
                </c:pt>
                <c:pt idx="91">
                  <c:v>3.4023539545889254</c:v>
                </c:pt>
                <c:pt idx="92">
                  <c:v>-1.7972894762201097</c:v>
                </c:pt>
                <c:pt idx="93">
                  <c:v>5.8718000370119103</c:v>
                </c:pt>
                <c:pt idx="94">
                  <c:v>1.5910323322078297</c:v>
                </c:pt>
                <c:pt idx="95">
                  <c:v>-3.9014999106519812</c:v>
                </c:pt>
                <c:pt idx="96">
                  <c:v>2.8791809576771761</c:v>
                </c:pt>
                <c:pt idx="97">
                  <c:v>5.775840137885341</c:v>
                </c:pt>
                <c:pt idx="98">
                  <c:v>1.4571485363073777</c:v>
                </c:pt>
                <c:pt idx="99">
                  <c:v>-8.9195009517306492</c:v>
                </c:pt>
                <c:pt idx="100">
                  <c:v>-5.3171433821677194</c:v>
                </c:pt>
                <c:pt idx="101">
                  <c:v>7.1372833191807699</c:v>
                </c:pt>
                <c:pt idx="102">
                  <c:v>-5.3742235809649603</c:v>
                </c:pt>
                <c:pt idx="103">
                  <c:v>8.5436546301938474</c:v>
                </c:pt>
                <c:pt idx="104">
                  <c:v>3.6148404441445523</c:v>
                </c:pt>
                <c:pt idx="105">
                  <c:v>6.3366955869381084E-2</c:v>
                </c:pt>
                <c:pt idx="106">
                  <c:v>5.8012320615256296</c:v>
                </c:pt>
                <c:pt idx="107">
                  <c:v>2.462929912306798</c:v>
                </c:pt>
                <c:pt idx="108">
                  <c:v>3.0072199610088246</c:v>
                </c:pt>
                <c:pt idx="109">
                  <c:v>5.4866599667333676E-2</c:v>
                </c:pt>
                <c:pt idx="110">
                  <c:v>2.6470361095660309</c:v>
                </c:pt>
                <c:pt idx="111">
                  <c:v>-1.4798903265796055</c:v>
                </c:pt>
                <c:pt idx="112">
                  <c:v>-1.8459518851290648</c:v>
                </c:pt>
                <c:pt idx="113">
                  <c:v>-2.1501881105938678</c:v>
                </c:pt>
                <c:pt idx="114">
                  <c:v>-5.8535314936121319</c:v>
                </c:pt>
                <c:pt idx="115">
                  <c:v>-7.4849794417011921</c:v>
                </c:pt>
                <c:pt idx="116">
                  <c:v>10.063874300363663</c:v>
                </c:pt>
                <c:pt idx="117">
                  <c:v>-0.32830466731329472</c:v>
                </c:pt>
                <c:pt idx="118">
                  <c:v>0.95296861206768169</c:v>
                </c:pt>
                <c:pt idx="119">
                  <c:v>4.1664044586163467</c:v>
                </c:pt>
                <c:pt idx="120">
                  <c:v>3.9842987412393089</c:v>
                </c:pt>
                <c:pt idx="121">
                  <c:v>3.0623751999005617</c:v>
                </c:pt>
                <c:pt idx="122">
                  <c:v>-0.76281699251177826</c:v>
                </c:pt>
                <c:pt idx="123">
                  <c:v>-6.508959317437772</c:v>
                </c:pt>
                <c:pt idx="124">
                  <c:v>3.9193545000562962</c:v>
                </c:pt>
                <c:pt idx="125">
                  <c:v>1.2310814788954465</c:v>
                </c:pt>
                <c:pt idx="126">
                  <c:v>1.9458897372981723</c:v>
                </c:pt>
                <c:pt idx="127">
                  <c:v>2.4043452686790241</c:v>
                </c:pt>
                <c:pt idx="128">
                  <c:v>-2.0202530943867059</c:v>
                </c:pt>
                <c:pt idx="129">
                  <c:v>0.28523180353572275</c:v>
                </c:pt>
                <c:pt idx="130">
                  <c:v>0.68721228080358765</c:v>
                </c:pt>
                <c:pt idx="131">
                  <c:v>4.9139458715591955</c:v>
                </c:pt>
                <c:pt idx="132">
                  <c:v>1.0916594218532338</c:v>
                </c:pt>
                <c:pt idx="133">
                  <c:v>3.527399315697588</c:v>
                </c:pt>
                <c:pt idx="134">
                  <c:v>1.7868012019289374</c:v>
                </c:pt>
                <c:pt idx="135">
                  <c:v>2.1123951082768992</c:v>
                </c:pt>
                <c:pt idx="136">
                  <c:v>-1.3572645727413182</c:v>
                </c:pt>
                <c:pt idx="137">
                  <c:v>4.8254425763231996</c:v>
                </c:pt>
                <c:pt idx="138">
                  <c:v>-3.2194988727198224</c:v>
                </c:pt>
                <c:pt idx="139">
                  <c:v>2.7986997406494578</c:v>
                </c:pt>
                <c:pt idx="140">
                  <c:v>4.4305895744551611</c:v>
                </c:pt>
                <c:pt idx="141">
                  <c:v>2.6785770944088436</c:v>
                </c:pt>
                <c:pt idx="142">
                  <c:v>2.1467975915643116</c:v>
                </c:pt>
                <c:pt idx="143">
                  <c:v>-3.4860738491773717</c:v>
                </c:pt>
                <c:pt idx="144">
                  <c:v>4.1168879491496835</c:v>
                </c:pt>
                <c:pt idx="145">
                  <c:v>0.86837249682221063</c:v>
                </c:pt>
                <c:pt idx="146">
                  <c:v>0.55253510011688867</c:v>
                </c:pt>
                <c:pt idx="147">
                  <c:v>2.0709610733356594</c:v>
                </c:pt>
                <c:pt idx="148">
                  <c:v>1.9740065326586282</c:v>
                </c:pt>
                <c:pt idx="149">
                  <c:v>-1.6720782458769428</c:v>
                </c:pt>
                <c:pt idx="150">
                  <c:v>3.7738689811750628</c:v>
                </c:pt>
                <c:pt idx="151">
                  <c:v>-1.6432542208666832</c:v>
                </c:pt>
                <c:pt idx="152">
                  <c:v>2.3430083690481931</c:v>
                </c:pt>
                <c:pt idx="153">
                  <c:v>2.3280265813537011</c:v>
                </c:pt>
                <c:pt idx="154">
                  <c:v>-0.33610811001525198</c:v>
                </c:pt>
                <c:pt idx="155">
                  <c:v>-3.0715997058701054</c:v>
                </c:pt>
                <c:pt idx="156">
                  <c:v>5.2927233713019524</c:v>
                </c:pt>
                <c:pt idx="157">
                  <c:v>-1.8046748099037104</c:v>
                </c:pt>
                <c:pt idx="158">
                  <c:v>0.94900011185346711</c:v>
                </c:pt>
                <c:pt idx="159">
                  <c:v>1.0116837493688986</c:v>
                </c:pt>
                <c:pt idx="160">
                  <c:v>-1.9961525136868954</c:v>
                </c:pt>
                <c:pt idx="161">
                  <c:v>1.7949872043323196</c:v>
                </c:pt>
                <c:pt idx="162">
                  <c:v>-6.6052276348838266</c:v>
                </c:pt>
                <c:pt idx="163">
                  <c:v>-2.5952986135958938</c:v>
                </c:pt>
                <c:pt idx="164">
                  <c:v>8.05736594730209</c:v>
                </c:pt>
                <c:pt idx="165">
                  <c:v>9.3397395980225312E-2</c:v>
                </c:pt>
                <c:pt idx="166">
                  <c:v>-2.1900148986011501</c:v>
                </c:pt>
                <c:pt idx="167">
                  <c:v>-5.1174330289292529</c:v>
                </c:pt>
                <c:pt idx="168">
                  <c:v>-1.8088168547485874E-2</c:v>
                </c:pt>
                <c:pt idx="169">
                  <c:v>5.9627086046743205</c:v>
                </c:pt>
                <c:pt idx="170">
                  <c:v>0.49249022739147275</c:v>
                </c:pt>
                <c:pt idx="171">
                  <c:v>1.263361284862885</c:v>
                </c:pt>
                <c:pt idx="172">
                  <c:v>0.23506209687665844</c:v>
                </c:pt>
                <c:pt idx="173">
                  <c:v>3.43046312533271</c:v>
                </c:pt>
                <c:pt idx="174">
                  <c:v>-0.10877638358627509</c:v>
                </c:pt>
                <c:pt idx="175">
                  <c:v>-0.34707048432618487</c:v>
                </c:pt>
                <c:pt idx="176">
                  <c:v>-1.6883843413758901</c:v>
                </c:pt>
                <c:pt idx="177">
                  <c:v>3.2657557292321324</c:v>
                </c:pt>
                <c:pt idx="178">
                  <c:v>2.2668186207176784</c:v>
                </c:pt>
                <c:pt idx="179">
                  <c:v>1.4563121013323732</c:v>
                </c:pt>
                <c:pt idx="180">
                  <c:v>4.00891570085704</c:v>
                </c:pt>
                <c:pt idx="181">
                  <c:v>-0.81273684076211627</c:v>
                </c:pt>
                <c:pt idx="182">
                  <c:v>1.0337863372076641</c:v>
                </c:pt>
                <c:pt idx="183">
                  <c:v>1.0552807611911439</c:v>
                </c:pt>
                <c:pt idx="184">
                  <c:v>0.56613714734344966</c:v>
                </c:pt>
                <c:pt idx="185">
                  <c:v>1.7717161071854046</c:v>
                </c:pt>
                <c:pt idx="186">
                  <c:v>-0.19409004040216499</c:v>
                </c:pt>
                <c:pt idx="187">
                  <c:v>1.7853965620570391</c:v>
                </c:pt>
                <c:pt idx="188">
                  <c:v>2.3389503969522889</c:v>
                </c:pt>
                <c:pt idx="189">
                  <c:v>2.2634445637441067</c:v>
                </c:pt>
                <c:pt idx="190">
                  <c:v>1.3382034976546096</c:v>
                </c:pt>
                <c:pt idx="191">
                  <c:v>4.7077932129058331</c:v>
                </c:pt>
                <c:pt idx="192">
                  <c:v>-3.7929238537473915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BD5-45ED-8143-CB3D7C11C1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5731327"/>
        <c:axId val="1"/>
      </c:scatterChart>
      <c:valAx>
        <c:axId val="11657313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5731327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2</xdr:row>
      <xdr:rowOff>0</xdr:rowOff>
    </xdr:from>
    <xdr:to>
      <xdr:col>26</xdr:col>
      <xdr:colOff>38100</xdr:colOff>
      <xdr:row>20</xdr:row>
      <xdr:rowOff>167640</xdr:rowOff>
    </xdr:to>
    <xdr:graphicFrame macro="">
      <xdr:nvGraphicFramePr>
        <xdr:cNvPr id="1028" name="Gráfico 2">
          <a:extLst>
            <a:ext uri="{FF2B5EF4-FFF2-40B4-BE49-F238E27FC236}">
              <a16:creationId xmlns:a16="http://schemas.microsoft.com/office/drawing/2014/main" id="{F142DABE-9482-435D-86D3-455ABE4016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53340</xdr:colOff>
      <xdr:row>11</xdr:row>
      <xdr:rowOff>131445</xdr:rowOff>
    </xdr:from>
    <xdr:to>
      <xdr:col>17</xdr:col>
      <xdr:colOff>102870</xdr:colOff>
      <xdr:row>30</xdr:row>
      <xdr:rowOff>120015</xdr:rowOff>
    </xdr:to>
    <xdr:graphicFrame macro="">
      <xdr:nvGraphicFramePr>
        <xdr:cNvPr id="2052" name="Gráfico 1">
          <a:extLst>
            <a:ext uri="{FF2B5EF4-FFF2-40B4-BE49-F238E27FC236}">
              <a16:creationId xmlns:a16="http://schemas.microsoft.com/office/drawing/2014/main" id="{6C26926D-D055-4FA4-8953-82EBBBFBE2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95"/>
  <sheetViews>
    <sheetView showGridLines="0" tabSelected="1" topLeftCell="F1" workbookViewId="0">
      <selection activeCell="J10" sqref="J10"/>
    </sheetView>
  </sheetViews>
  <sheetFormatPr defaultRowHeight="14.4" x14ac:dyDescent="0.3"/>
  <cols>
    <col min="5" max="5" width="12.33203125" customWidth="1"/>
    <col min="6" max="6" width="11.77734375" customWidth="1"/>
    <col min="10" max="10" width="12.21875" customWidth="1"/>
    <col min="11" max="11" width="12.44140625" customWidth="1"/>
    <col min="17" max="17" width="17.88671875" customWidth="1"/>
  </cols>
  <sheetData>
    <row r="1" spans="1:14" x14ac:dyDescent="0.3">
      <c r="A1" t="s">
        <v>0</v>
      </c>
      <c r="B1" t="s">
        <v>6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J1" t="s">
        <v>9</v>
      </c>
      <c r="K1" t="s">
        <v>10</v>
      </c>
      <c r="L1" t="s">
        <v>7</v>
      </c>
    </row>
    <row r="2" spans="1:14" x14ac:dyDescent="0.3">
      <c r="A2" s="1">
        <v>37257</v>
      </c>
      <c r="B2">
        <v>1130.1999510000001</v>
      </c>
      <c r="C2">
        <v>15.3</v>
      </c>
      <c r="D2">
        <v>37.150002000000001</v>
      </c>
      <c r="E2">
        <v>31.855</v>
      </c>
      <c r="F2">
        <v>17.260000000000002</v>
      </c>
      <c r="G2" s="2">
        <v>1.68</v>
      </c>
      <c r="H2" s="2"/>
      <c r="I2" s="1">
        <v>37257</v>
      </c>
      <c r="M2" t="s">
        <v>8</v>
      </c>
      <c r="N2" t="s">
        <v>11</v>
      </c>
    </row>
    <row r="3" spans="1:14" x14ac:dyDescent="0.3">
      <c r="A3" s="1">
        <v>37288</v>
      </c>
      <c r="B3">
        <v>1106.7299800000001</v>
      </c>
      <c r="C3">
        <v>14.88</v>
      </c>
      <c r="D3">
        <v>38.5</v>
      </c>
      <c r="E3">
        <v>29.17</v>
      </c>
      <c r="F3">
        <v>16.620000999999998</v>
      </c>
      <c r="G3" s="2">
        <v>1.76</v>
      </c>
      <c r="H3" s="2"/>
      <c r="I3" s="1">
        <v>37288</v>
      </c>
      <c r="J3">
        <f>LN(B3/B2)*100</f>
        <v>-2.0984861391263427</v>
      </c>
      <c r="K3">
        <f>LN(E3/E2)*100</f>
        <v>-8.8053571688821357</v>
      </c>
      <c r="L3">
        <f>G3/12</f>
        <v>0.14666666666666667</v>
      </c>
      <c r="M3">
        <f>J3-L3</f>
        <v>-2.2451528057930092</v>
      </c>
      <c r="N3">
        <f>K3-L3</f>
        <v>-8.9520238355488022</v>
      </c>
    </row>
    <row r="4" spans="1:14" x14ac:dyDescent="0.3">
      <c r="A4" s="1">
        <v>37316</v>
      </c>
      <c r="B4">
        <v>1147.3900149999999</v>
      </c>
      <c r="C4">
        <v>16.489999999999998</v>
      </c>
      <c r="D4">
        <v>37.400002000000001</v>
      </c>
      <c r="E4">
        <v>30.155000999999999</v>
      </c>
      <c r="F4">
        <v>12.8</v>
      </c>
      <c r="G4" s="2">
        <v>1.83</v>
      </c>
      <c r="H4" s="2"/>
      <c r="I4" s="1">
        <v>37316</v>
      </c>
      <c r="J4">
        <f t="shared" ref="J4:J67" si="0">LN(B4/B3)*100</f>
        <v>3.6080107397161982</v>
      </c>
      <c r="K4">
        <f t="shared" ref="K4:K67" si="1">LN(E4/E3)*100</f>
        <v>3.3209996185315767</v>
      </c>
      <c r="L4">
        <f t="shared" ref="L4:L67" si="2">G4/12</f>
        <v>0.1525</v>
      </c>
      <c r="M4">
        <f t="shared" ref="M4:M67" si="3">J4-L4</f>
        <v>3.4555107397161984</v>
      </c>
      <c r="N4">
        <f t="shared" ref="N4:N67" si="4">K4-L4</f>
        <v>3.1684996185315768</v>
      </c>
    </row>
    <row r="5" spans="1:14" x14ac:dyDescent="0.3">
      <c r="A5" s="1">
        <v>37347</v>
      </c>
      <c r="B5">
        <v>1076.920044</v>
      </c>
      <c r="C5">
        <v>16</v>
      </c>
      <c r="D5">
        <v>31.549999</v>
      </c>
      <c r="E5">
        <v>26.129999000000002</v>
      </c>
      <c r="F5">
        <v>10.039999999999999</v>
      </c>
      <c r="G5" s="2">
        <v>1.75</v>
      </c>
      <c r="H5" s="2"/>
      <c r="I5" s="1">
        <v>37347</v>
      </c>
      <c r="J5">
        <f t="shared" si="0"/>
        <v>-6.3384655000303258</v>
      </c>
      <c r="K5">
        <f t="shared" si="1"/>
        <v>-14.326673880261287</v>
      </c>
      <c r="L5">
        <f t="shared" si="2"/>
        <v>0.14583333333333334</v>
      </c>
      <c r="M5">
        <f t="shared" si="3"/>
        <v>-6.4842988333636589</v>
      </c>
      <c r="N5">
        <f t="shared" si="4"/>
        <v>-14.472507213594621</v>
      </c>
    </row>
    <row r="6" spans="1:14" x14ac:dyDescent="0.3">
      <c r="A6" s="1">
        <v>37377</v>
      </c>
      <c r="B6">
        <v>1067.1400149999999</v>
      </c>
      <c r="C6">
        <v>17.649999999999999</v>
      </c>
      <c r="D6">
        <v>31.139999</v>
      </c>
      <c r="E6">
        <v>25.454999999999998</v>
      </c>
      <c r="F6">
        <v>7.92</v>
      </c>
      <c r="G6" s="2">
        <v>1.76</v>
      </c>
      <c r="H6" s="2"/>
      <c r="I6" s="1">
        <v>37377</v>
      </c>
      <c r="J6">
        <f t="shared" si="0"/>
        <v>-0.91229690981223466</v>
      </c>
      <c r="K6">
        <f t="shared" si="1"/>
        <v>-2.6171853908033653</v>
      </c>
      <c r="L6">
        <f t="shared" si="2"/>
        <v>0.14666666666666667</v>
      </c>
      <c r="M6">
        <f t="shared" si="3"/>
        <v>-1.0589635764789014</v>
      </c>
      <c r="N6">
        <f t="shared" si="4"/>
        <v>-2.7638520574700318</v>
      </c>
    </row>
    <row r="7" spans="1:14" x14ac:dyDescent="0.3">
      <c r="A7" s="1">
        <v>37408</v>
      </c>
      <c r="B7">
        <v>989.82000700000003</v>
      </c>
      <c r="C7">
        <v>16</v>
      </c>
      <c r="D7">
        <v>29.049999</v>
      </c>
      <c r="E7">
        <v>27.35</v>
      </c>
      <c r="F7">
        <v>9.4700000000000006</v>
      </c>
      <c r="G7" s="2">
        <v>1.73</v>
      </c>
      <c r="H7" s="2"/>
      <c r="I7" s="1">
        <v>37408</v>
      </c>
      <c r="J7">
        <f t="shared" si="0"/>
        <v>-7.5214350260175573</v>
      </c>
      <c r="K7">
        <f t="shared" si="1"/>
        <v>7.1804341513691101</v>
      </c>
      <c r="L7">
        <f t="shared" si="2"/>
        <v>0.14416666666666667</v>
      </c>
      <c r="M7">
        <f t="shared" si="3"/>
        <v>-7.6656016926842243</v>
      </c>
      <c r="N7">
        <f t="shared" si="4"/>
        <v>7.0362674847024431</v>
      </c>
    </row>
    <row r="8" spans="1:14" x14ac:dyDescent="0.3">
      <c r="A8" s="1">
        <v>37438</v>
      </c>
      <c r="B8">
        <v>911.61999500000002</v>
      </c>
      <c r="C8">
        <v>13.47</v>
      </c>
      <c r="D8">
        <v>32.200001</v>
      </c>
      <c r="E8">
        <v>23.99</v>
      </c>
      <c r="F8">
        <v>10.01</v>
      </c>
      <c r="G8" s="2">
        <v>1.71</v>
      </c>
      <c r="H8" s="2"/>
      <c r="I8" s="1">
        <v>37438</v>
      </c>
      <c r="J8">
        <f t="shared" si="0"/>
        <v>-8.2299884394633427</v>
      </c>
      <c r="K8">
        <f t="shared" si="1"/>
        <v>-13.107945201638707</v>
      </c>
      <c r="L8">
        <f t="shared" si="2"/>
        <v>0.14249999999999999</v>
      </c>
      <c r="M8">
        <f t="shared" si="3"/>
        <v>-8.3724884394633428</v>
      </c>
      <c r="N8">
        <f t="shared" si="4"/>
        <v>-13.250445201638707</v>
      </c>
    </row>
    <row r="9" spans="1:14" x14ac:dyDescent="0.3">
      <c r="A9" s="1">
        <v>37469</v>
      </c>
      <c r="B9">
        <v>916.07000700000003</v>
      </c>
      <c r="C9">
        <v>11.77</v>
      </c>
      <c r="D9">
        <v>30.15</v>
      </c>
      <c r="E9">
        <v>24.540001</v>
      </c>
      <c r="F9">
        <v>9.59</v>
      </c>
      <c r="G9" s="2">
        <v>1.65</v>
      </c>
      <c r="H9" s="2"/>
      <c r="I9" s="1">
        <v>37469</v>
      </c>
      <c r="J9">
        <f t="shared" si="0"/>
        <v>0.48695575163946447</v>
      </c>
      <c r="K9">
        <f t="shared" si="1"/>
        <v>2.2667403180957697</v>
      </c>
      <c r="L9">
        <f t="shared" si="2"/>
        <v>0.13749999999999998</v>
      </c>
      <c r="M9">
        <f t="shared" si="3"/>
        <v>0.34945575163946452</v>
      </c>
      <c r="N9">
        <f t="shared" si="4"/>
        <v>2.1292403180957695</v>
      </c>
    </row>
    <row r="10" spans="1:14" x14ac:dyDescent="0.3">
      <c r="A10" s="1">
        <v>37500</v>
      </c>
      <c r="B10">
        <v>815.28002900000001</v>
      </c>
      <c r="C10">
        <v>9.8000000000000007</v>
      </c>
      <c r="D10">
        <v>24.65</v>
      </c>
      <c r="E10">
        <v>21.870000999999998</v>
      </c>
      <c r="F10">
        <v>7.86</v>
      </c>
      <c r="G10" s="2">
        <v>1.66</v>
      </c>
      <c r="H10" s="2"/>
      <c r="I10" s="1">
        <v>37500</v>
      </c>
      <c r="J10">
        <f t="shared" si="0"/>
        <v>-11.656114051860303</v>
      </c>
      <c r="K10">
        <f t="shared" si="1"/>
        <v>-11.518859961914842</v>
      </c>
      <c r="L10">
        <f t="shared" si="2"/>
        <v>0.13833333333333334</v>
      </c>
      <c r="M10">
        <f t="shared" si="3"/>
        <v>-11.794447385193637</v>
      </c>
      <c r="N10">
        <f t="shared" si="4"/>
        <v>-11.657193295248176</v>
      </c>
    </row>
    <row r="11" spans="1:14" x14ac:dyDescent="0.3">
      <c r="A11" s="1">
        <v>37530</v>
      </c>
      <c r="B11">
        <v>885.76000999999997</v>
      </c>
      <c r="C11">
        <v>8.4600000000000009</v>
      </c>
      <c r="D11">
        <v>25.25</v>
      </c>
      <c r="E11">
        <v>26.735001</v>
      </c>
      <c r="F11">
        <v>10.19</v>
      </c>
      <c r="G11" s="2">
        <v>1.61</v>
      </c>
      <c r="H11" s="2"/>
      <c r="I11" s="1">
        <v>37530</v>
      </c>
      <c r="J11">
        <f t="shared" si="0"/>
        <v>8.2914396747896095</v>
      </c>
      <c r="K11">
        <f t="shared" si="1"/>
        <v>20.08577253914336</v>
      </c>
      <c r="L11">
        <f t="shared" si="2"/>
        <v>0.13416666666666668</v>
      </c>
      <c r="M11">
        <f t="shared" si="3"/>
        <v>8.1572730081229423</v>
      </c>
      <c r="N11">
        <f t="shared" si="4"/>
        <v>19.951605872476694</v>
      </c>
    </row>
    <row r="12" spans="1:14" x14ac:dyDescent="0.3">
      <c r="A12" s="1">
        <v>37561</v>
      </c>
      <c r="B12">
        <v>936.30999799999995</v>
      </c>
      <c r="C12">
        <v>11.38</v>
      </c>
      <c r="D12">
        <v>27.120000999999998</v>
      </c>
      <c r="E12">
        <v>28.84</v>
      </c>
      <c r="F12">
        <v>12.15</v>
      </c>
      <c r="G12" s="2">
        <v>1.25</v>
      </c>
      <c r="H12" s="2"/>
      <c r="I12" s="1">
        <v>37561</v>
      </c>
      <c r="J12">
        <f t="shared" si="0"/>
        <v>5.550057125032783</v>
      </c>
      <c r="K12">
        <f t="shared" si="1"/>
        <v>7.5789706611902279</v>
      </c>
      <c r="L12">
        <f t="shared" si="2"/>
        <v>0.10416666666666667</v>
      </c>
      <c r="M12">
        <f t="shared" si="3"/>
        <v>5.4458904583661161</v>
      </c>
      <c r="N12">
        <f t="shared" si="4"/>
        <v>7.4748039945235609</v>
      </c>
    </row>
    <row r="13" spans="1:14" x14ac:dyDescent="0.3">
      <c r="A13" s="1">
        <v>37591</v>
      </c>
      <c r="B13">
        <v>879.82000700000003</v>
      </c>
      <c r="C13">
        <v>9.3000000000000007</v>
      </c>
      <c r="D13">
        <v>24.35</v>
      </c>
      <c r="E13">
        <v>25.85</v>
      </c>
      <c r="F13">
        <v>10.8</v>
      </c>
      <c r="G13" s="2">
        <v>1.21</v>
      </c>
      <c r="H13" s="2"/>
      <c r="I13" s="1">
        <v>37591</v>
      </c>
      <c r="J13">
        <f t="shared" si="0"/>
        <v>-6.2229267037657934</v>
      </c>
      <c r="K13">
        <f t="shared" si="1"/>
        <v>-10.945271146231015</v>
      </c>
      <c r="L13">
        <f t="shared" si="2"/>
        <v>0.10083333333333333</v>
      </c>
      <c r="M13">
        <f t="shared" si="3"/>
        <v>-6.3237600370991265</v>
      </c>
      <c r="N13">
        <f t="shared" si="4"/>
        <v>-11.046104479564349</v>
      </c>
    </row>
    <row r="14" spans="1:14" x14ac:dyDescent="0.3">
      <c r="A14" s="1">
        <v>37622</v>
      </c>
      <c r="B14">
        <v>855.70001200000002</v>
      </c>
      <c r="C14">
        <v>9.11</v>
      </c>
      <c r="D14">
        <v>23.139999</v>
      </c>
      <c r="E14">
        <v>23.73</v>
      </c>
      <c r="F14">
        <v>12.03</v>
      </c>
      <c r="G14" s="2">
        <v>1.19</v>
      </c>
      <c r="H14" s="2"/>
      <c r="I14" s="1">
        <v>37622</v>
      </c>
      <c r="J14">
        <f t="shared" si="0"/>
        <v>-2.7797487603989515</v>
      </c>
      <c r="K14">
        <f t="shared" si="1"/>
        <v>-8.5570530506765934</v>
      </c>
      <c r="L14">
        <f t="shared" si="2"/>
        <v>9.9166666666666667E-2</v>
      </c>
      <c r="M14">
        <f t="shared" si="3"/>
        <v>-2.8789154270656181</v>
      </c>
      <c r="N14">
        <f t="shared" si="4"/>
        <v>-8.6562197173432605</v>
      </c>
    </row>
    <row r="15" spans="1:14" x14ac:dyDescent="0.3">
      <c r="A15" s="1">
        <v>37653</v>
      </c>
      <c r="B15">
        <v>841.15002400000003</v>
      </c>
      <c r="C15">
        <v>8.32</v>
      </c>
      <c r="D15">
        <v>24.049999</v>
      </c>
      <c r="E15">
        <v>23.700001</v>
      </c>
      <c r="F15">
        <v>11.96</v>
      </c>
      <c r="G15" s="2">
        <v>1.19</v>
      </c>
      <c r="H15" s="2"/>
      <c r="I15" s="1">
        <v>37653</v>
      </c>
      <c r="J15">
        <f t="shared" si="0"/>
        <v>-1.7149829750079986</v>
      </c>
      <c r="K15">
        <f t="shared" si="1"/>
        <v>-0.12649801124948018</v>
      </c>
      <c r="L15">
        <f t="shared" si="2"/>
        <v>9.9166666666666667E-2</v>
      </c>
      <c r="M15">
        <f t="shared" si="3"/>
        <v>-1.8141496416746652</v>
      </c>
      <c r="N15">
        <f t="shared" si="4"/>
        <v>-0.22566467791614686</v>
      </c>
    </row>
    <row r="16" spans="1:14" x14ac:dyDescent="0.3">
      <c r="A16" s="1">
        <v>37681</v>
      </c>
      <c r="B16">
        <v>848.17999299999997</v>
      </c>
      <c r="C16">
        <v>7.52</v>
      </c>
      <c r="D16">
        <v>25.5</v>
      </c>
      <c r="E16">
        <v>24.209999</v>
      </c>
      <c r="F16">
        <v>10.85</v>
      </c>
      <c r="G16" s="2">
        <v>1.1499999999999999</v>
      </c>
      <c r="H16" s="2"/>
      <c r="I16" s="1">
        <v>37681</v>
      </c>
      <c r="J16">
        <f t="shared" si="0"/>
        <v>0.83228374674983052</v>
      </c>
      <c r="K16">
        <f t="shared" si="1"/>
        <v>2.1290639309543025</v>
      </c>
      <c r="L16">
        <f t="shared" si="2"/>
        <v>9.5833333333333326E-2</v>
      </c>
      <c r="M16">
        <f t="shared" si="3"/>
        <v>0.7364504134164972</v>
      </c>
      <c r="N16">
        <f t="shared" si="4"/>
        <v>2.0332305976209692</v>
      </c>
    </row>
    <row r="17" spans="1:14" x14ac:dyDescent="0.3">
      <c r="A17" s="1">
        <v>37712</v>
      </c>
      <c r="B17">
        <v>916.919983</v>
      </c>
      <c r="C17">
        <v>10.3</v>
      </c>
      <c r="D17">
        <v>29.450001</v>
      </c>
      <c r="E17">
        <v>25.57</v>
      </c>
      <c r="F17">
        <v>11.88</v>
      </c>
      <c r="G17" s="2">
        <v>1.1499999999999999</v>
      </c>
      <c r="H17" s="2"/>
      <c r="I17" s="1">
        <v>37712</v>
      </c>
      <c r="J17">
        <f t="shared" si="0"/>
        <v>7.792733974211111</v>
      </c>
      <c r="K17">
        <f t="shared" si="1"/>
        <v>5.4654059658374763</v>
      </c>
      <c r="L17">
        <f t="shared" si="2"/>
        <v>9.5833333333333326E-2</v>
      </c>
      <c r="M17">
        <f t="shared" si="3"/>
        <v>7.6969006408777778</v>
      </c>
      <c r="N17">
        <f t="shared" si="4"/>
        <v>5.3695726325041431</v>
      </c>
    </row>
    <row r="18" spans="1:14" x14ac:dyDescent="0.3">
      <c r="A18" s="1">
        <v>37742</v>
      </c>
      <c r="B18">
        <v>963.59002699999996</v>
      </c>
      <c r="C18">
        <v>10.5</v>
      </c>
      <c r="D18">
        <v>28.700001</v>
      </c>
      <c r="E18">
        <v>24.610001</v>
      </c>
      <c r="F18">
        <v>13.01</v>
      </c>
      <c r="G18" s="2">
        <v>1.0900000000000001</v>
      </c>
      <c r="H18" s="2"/>
      <c r="I18" s="1">
        <v>37742</v>
      </c>
      <c r="J18">
        <f t="shared" si="0"/>
        <v>4.964571204983419</v>
      </c>
      <c r="K18">
        <f t="shared" si="1"/>
        <v>-3.8266884266242966</v>
      </c>
      <c r="L18">
        <f t="shared" si="2"/>
        <v>9.0833333333333335E-2</v>
      </c>
      <c r="M18">
        <f t="shared" si="3"/>
        <v>4.8737378716500857</v>
      </c>
      <c r="N18">
        <f t="shared" si="4"/>
        <v>-3.91752175995763</v>
      </c>
    </row>
    <row r="19" spans="1:14" x14ac:dyDescent="0.3">
      <c r="A19" s="1">
        <v>37773</v>
      </c>
      <c r="B19">
        <v>974.5</v>
      </c>
      <c r="C19">
        <v>10.99</v>
      </c>
      <c r="D19">
        <v>28.68</v>
      </c>
      <c r="E19">
        <v>25.639999</v>
      </c>
      <c r="F19">
        <v>12.01</v>
      </c>
      <c r="G19" s="2">
        <v>0.94</v>
      </c>
      <c r="H19" s="2"/>
      <c r="I19" s="1">
        <v>37773</v>
      </c>
      <c r="J19">
        <f t="shared" si="0"/>
        <v>1.1258597990636661</v>
      </c>
      <c r="K19">
        <f t="shared" si="1"/>
        <v>4.1000688014056044</v>
      </c>
      <c r="L19">
        <f t="shared" si="2"/>
        <v>7.8333333333333324E-2</v>
      </c>
      <c r="M19">
        <f t="shared" si="3"/>
        <v>1.0475264657303327</v>
      </c>
      <c r="N19">
        <f t="shared" si="4"/>
        <v>4.0217354680722712</v>
      </c>
    </row>
    <row r="20" spans="1:14" x14ac:dyDescent="0.3">
      <c r="A20" s="1">
        <v>37803</v>
      </c>
      <c r="B20">
        <v>990.30999799999995</v>
      </c>
      <c r="C20">
        <v>11.06</v>
      </c>
      <c r="D20">
        <v>28.440000999999999</v>
      </c>
      <c r="E20">
        <v>26.41</v>
      </c>
      <c r="F20">
        <v>11.99</v>
      </c>
      <c r="G20" s="2">
        <v>0.92</v>
      </c>
      <c r="H20" s="2"/>
      <c r="I20" s="1">
        <v>37803</v>
      </c>
      <c r="J20">
        <f t="shared" si="0"/>
        <v>1.6093504459204055</v>
      </c>
      <c r="K20">
        <f t="shared" si="1"/>
        <v>2.9589133258132341</v>
      </c>
      <c r="L20">
        <f t="shared" si="2"/>
        <v>7.6666666666666675E-2</v>
      </c>
      <c r="M20">
        <f t="shared" si="3"/>
        <v>1.5326837792537389</v>
      </c>
      <c r="N20">
        <f t="shared" si="4"/>
        <v>2.8822466591465674</v>
      </c>
    </row>
    <row r="21" spans="1:14" x14ac:dyDescent="0.3">
      <c r="A21" s="1">
        <v>37834</v>
      </c>
      <c r="B21">
        <v>1008.01001</v>
      </c>
      <c r="C21">
        <v>11.56</v>
      </c>
      <c r="D21">
        <v>29.57</v>
      </c>
      <c r="E21">
        <v>26.52</v>
      </c>
      <c r="F21">
        <v>12.83</v>
      </c>
      <c r="G21" s="2">
        <v>0.97</v>
      </c>
      <c r="H21" s="2"/>
      <c r="I21" s="1">
        <v>37834</v>
      </c>
      <c r="J21">
        <f t="shared" si="0"/>
        <v>1.7715355730742299</v>
      </c>
      <c r="K21">
        <f t="shared" si="1"/>
        <v>0.41564390086208952</v>
      </c>
      <c r="L21">
        <f t="shared" si="2"/>
        <v>8.0833333333333326E-2</v>
      </c>
      <c r="M21">
        <f t="shared" si="3"/>
        <v>1.6907022397408966</v>
      </c>
      <c r="N21">
        <f t="shared" si="4"/>
        <v>0.33481056752875621</v>
      </c>
    </row>
    <row r="22" spans="1:14" x14ac:dyDescent="0.3">
      <c r="A22" s="1">
        <v>37865</v>
      </c>
      <c r="B22">
        <v>995.96997099999999</v>
      </c>
      <c r="C22">
        <v>10.77</v>
      </c>
      <c r="D22">
        <v>29.809999000000001</v>
      </c>
      <c r="E22">
        <v>27.799999</v>
      </c>
      <c r="F22">
        <v>11.25</v>
      </c>
      <c r="G22" s="2">
        <v>0.96</v>
      </c>
      <c r="H22" s="2"/>
      <c r="I22" s="1">
        <v>37865</v>
      </c>
      <c r="J22">
        <f t="shared" si="0"/>
        <v>-1.2016271605865483</v>
      </c>
      <c r="K22">
        <f t="shared" si="1"/>
        <v>4.7136819407705897</v>
      </c>
      <c r="L22">
        <f t="shared" si="2"/>
        <v>0.08</v>
      </c>
      <c r="M22">
        <f t="shared" si="3"/>
        <v>-1.2816271605865484</v>
      </c>
      <c r="N22">
        <f t="shared" si="4"/>
        <v>4.6336819407705896</v>
      </c>
    </row>
    <row r="23" spans="1:14" x14ac:dyDescent="0.3">
      <c r="A23" s="1">
        <v>37895</v>
      </c>
      <c r="B23">
        <v>1050.709961</v>
      </c>
      <c r="C23">
        <v>12.13</v>
      </c>
      <c r="D23">
        <v>29.01</v>
      </c>
      <c r="E23">
        <v>26.139999</v>
      </c>
      <c r="F23">
        <v>11.97</v>
      </c>
      <c r="G23" s="2">
        <v>0.94</v>
      </c>
      <c r="H23" s="2"/>
      <c r="I23" s="1">
        <v>37895</v>
      </c>
      <c r="J23">
        <f t="shared" si="0"/>
        <v>5.3504260464530695</v>
      </c>
      <c r="K23">
        <f t="shared" si="1"/>
        <v>-6.1569314784839584</v>
      </c>
      <c r="L23">
        <f t="shared" si="2"/>
        <v>7.8333333333333324E-2</v>
      </c>
      <c r="M23">
        <f t="shared" si="3"/>
        <v>5.2720927131197364</v>
      </c>
      <c r="N23">
        <f t="shared" si="4"/>
        <v>-6.2352648118172915</v>
      </c>
    </row>
    <row r="24" spans="1:14" x14ac:dyDescent="0.3">
      <c r="A24" s="1">
        <v>37926</v>
      </c>
      <c r="B24">
        <v>1058.1999510000001</v>
      </c>
      <c r="C24">
        <v>13.2</v>
      </c>
      <c r="D24">
        <v>28.67</v>
      </c>
      <c r="E24">
        <v>25.709999</v>
      </c>
      <c r="F24">
        <v>12.02</v>
      </c>
      <c r="G24" s="2">
        <v>0.95</v>
      </c>
      <c r="H24" s="2"/>
      <c r="I24" s="1">
        <v>37926</v>
      </c>
      <c r="J24">
        <f t="shared" si="0"/>
        <v>0.71032161687569428</v>
      </c>
      <c r="K24">
        <f t="shared" si="1"/>
        <v>-1.658668755810214</v>
      </c>
      <c r="L24">
        <f t="shared" si="2"/>
        <v>7.9166666666666663E-2</v>
      </c>
      <c r="M24">
        <f t="shared" si="3"/>
        <v>0.63115495020902768</v>
      </c>
      <c r="N24">
        <f t="shared" si="4"/>
        <v>-1.7378354224768806</v>
      </c>
    </row>
    <row r="25" spans="1:14" x14ac:dyDescent="0.3">
      <c r="A25" s="1">
        <v>37956</v>
      </c>
      <c r="B25">
        <v>1111.920044</v>
      </c>
      <c r="C25">
        <v>16</v>
      </c>
      <c r="D25">
        <v>30.98</v>
      </c>
      <c r="E25">
        <v>27.370000999999998</v>
      </c>
      <c r="F25">
        <v>13.23</v>
      </c>
      <c r="G25" s="2">
        <v>0.91</v>
      </c>
      <c r="H25" s="2"/>
      <c r="I25" s="1">
        <v>37956</v>
      </c>
      <c r="J25">
        <f t="shared" si="0"/>
        <v>4.9518985182709985</v>
      </c>
      <c r="K25">
        <f t="shared" si="1"/>
        <v>6.2567577206514748</v>
      </c>
      <c r="L25">
        <f t="shared" si="2"/>
        <v>7.5833333333333336E-2</v>
      </c>
      <c r="M25">
        <f t="shared" si="3"/>
        <v>4.8760651849376648</v>
      </c>
      <c r="N25">
        <f t="shared" si="4"/>
        <v>6.1809243873181412</v>
      </c>
    </row>
    <row r="26" spans="1:14" x14ac:dyDescent="0.3">
      <c r="A26" s="1">
        <v>37987</v>
      </c>
      <c r="B26">
        <v>1131.130005</v>
      </c>
      <c r="C26">
        <v>14.54</v>
      </c>
      <c r="D26">
        <v>33.630001</v>
      </c>
      <c r="E26">
        <v>27.65</v>
      </c>
      <c r="F26">
        <v>13.86</v>
      </c>
      <c r="G26" s="2">
        <v>0.9</v>
      </c>
      <c r="H26" s="2"/>
      <c r="I26" s="1">
        <v>37987</v>
      </c>
      <c r="J26">
        <f t="shared" si="0"/>
        <v>1.71288471121341</v>
      </c>
      <c r="K26">
        <f t="shared" si="1"/>
        <v>1.0178168379403185</v>
      </c>
      <c r="L26">
        <f t="shared" si="2"/>
        <v>7.4999999999999997E-2</v>
      </c>
      <c r="M26">
        <f t="shared" si="3"/>
        <v>1.6378847112134101</v>
      </c>
      <c r="N26">
        <f t="shared" si="4"/>
        <v>0.94281683794031856</v>
      </c>
    </row>
    <row r="27" spans="1:14" x14ac:dyDescent="0.3">
      <c r="A27" s="1">
        <v>38018</v>
      </c>
      <c r="B27">
        <v>1144.9399410000001</v>
      </c>
      <c r="C27">
        <v>13.75</v>
      </c>
      <c r="D27">
        <v>32.520000000000003</v>
      </c>
      <c r="E27">
        <v>26.530000999999999</v>
      </c>
      <c r="F27">
        <v>12.87</v>
      </c>
      <c r="G27" s="2">
        <v>0.94</v>
      </c>
      <c r="H27" s="2"/>
      <c r="I27" s="1">
        <v>38018</v>
      </c>
      <c r="J27">
        <f t="shared" si="0"/>
        <v>1.2135044877681667</v>
      </c>
      <c r="K27">
        <f t="shared" si="1"/>
        <v>-4.1349522125518732</v>
      </c>
      <c r="L27">
        <f t="shared" si="2"/>
        <v>7.8333333333333324E-2</v>
      </c>
      <c r="M27">
        <f t="shared" si="3"/>
        <v>1.1351711544348333</v>
      </c>
      <c r="N27">
        <f t="shared" si="4"/>
        <v>-4.2132855458852063</v>
      </c>
    </row>
    <row r="28" spans="1:14" x14ac:dyDescent="0.3">
      <c r="A28" s="1">
        <v>38047</v>
      </c>
      <c r="B28">
        <v>1126.209961</v>
      </c>
      <c r="C28">
        <v>13.57</v>
      </c>
      <c r="D28">
        <v>30.52</v>
      </c>
      <c r="E28">
        <v>24.93</v>
      </c>
      <c r="F28">
        <v>12</v>
      </c>
      <c r="G28" s="2">
        <v>0.95</v>
      </c>
      <c r="H28" s="2"/>
      <c r="I28" s="1">
        <v>38047</v>
      </c>
      <c r="J28">
        <f t="shared" si="0"/>
        <v>-1.6494203768324593</v>
      </c>
      <c r="K28">
        <f t="shared" si="1"/>
        <v>-6.2204308307358538</v>
      </c>
      <c r="L28">
        <f t="shared" si="2"/>
        <v>7.9166666666666663E-2</v>
      </c>
      <c r="M28">
        <f t="shared" si="3"/>
        <v>-1.728587043499126</v>
      </c>
      <c r="N28">
        <f t="shared" si="4"/>
        <v>-6.2995974974025204</v>
      </c>
    </row>
    <row r="29" spans="1:14" x14ac:dyDescent="0.3">
      <c r="A29" s="1">
        <v>38078</v>
      </c>
      <c r="B29">
        <v>1107.3000489999999</v>
      </c>
      <c r="C29">
        <v>15.36</v>
      </c>
      <c r="D29">
        <v>29.950001</v>
      </c>
      <c r="E29">
        <v>26.129999000000002</v>
      </c>
      <c r="F29">
        <v>11.25</v>
      </c>
      <c r="G29" s="2">
        <v>0.96</v>
      </c>
      <c r="H29" s="2"/>
      <c r="I29" s="1">
        <v>38078</v>
      </c>
      <c r="J29">
        <f t="shared" si="0"/>
        <v>-1.6933314613340047</v>
      </c>
      <c r="K29">
        <f t="shared" si="1"/>
        <v>4.7012143726866338</v>
      </c>
      <c r="L29">
        <f t="shared" si="2"/>
        <v>0.08</v>
      </c>
      <c r="M29">
        <f t="shared" si="3"/>
        <v>-1.7733314613340048</v>
      </c>
      <c r="N29">
        <f t="shared" si="4"/>
        <v>4.6212143726866337</v>
      </c>
    </row>
    <row r="30" spans="1:14" x14ac:dyDescent="0.3">
      <c r="A30" s="1">
        <v>38108</v>
      </c>
      <c r="B30">
        <v>1120.6800539999999</v>
      </c>
      <c r="C30">
        <v>14.85</v>
      </c>
      <c r="D30">
        <v>31.120000999999998</v>
      </c>
      <c r="E30">
        <v>26.23</v>
      </c>
      <c r="F30">
        <v>11.4</v>
      </c>
      <c r="G30" s="2">
        <v>1.04</v>
      </c>
      <c r="H30" s="2"/>
      <c r="I30" s="1">
        <v>38108</v>
      </c>
      <c r="J30">
        <f t="shared" si="0"/>
        <v>1.2011028138810897</v>
      </c>
      <c r="K30">
        <f t="shared" si="1"/>
        <v>0.38197526164493611</v>
      </c>
      <c r="L30">
        <f t="shared" si="2"/>
        <v>8.666666666666667E-2</v>
      </c>
      <c r="M30">
        <f t="shared" si="3"/>
        <v>1.1144361472144231</v>
      </c>
      <c r="N30">
        <f t="shared" si="4"/>
        <v>0.29530859497826945</v>
      </c>
    </row>
    <row r="31" spans="1:14" x14ac:dyDescent="0.3">
      <c r="A31" s="1">
        <v>38139</v>
      </c>
      <c r="B31">
        <v>1140.839966</v>
      </c>
      <c r="C31">
        <v>15.65</v>
      </c>
      <c r="D31">
        <v>32.400002000000001</v>
      </c>
      <c r="E31">
        <v>28.559999000000001</v>
      </c>
      <c r="F31">
        <v>11.93</v>
      </c>
      <c r="G31" s="2">
        <v>1.29</v>
      </c>
      <c r="H31" s="2"/>
      <c r="I31" s="1">
        <v>38139</v>
      </c>
      <c r="J31">
        <f t="shared" si="0"/>
        <v>1.7829111261681307</v>
      </c>
      <c r="K31">
        <f t="shared" si="1"/>
        <v>8.5103308578595112</v>
      </c>
      <c r="L31">
        <f t="shared" si="2"/>
        <v>0.1075</v>
      </c>
      <c r="M31">
        <f t="shared" si="3"/>
        <v>1.6754111261681308</v>
      </c>
      <c r="N31">
        <f t="shared" si="4"/>
        <v>8.4028308578595112</v>
      </c>
    </row>
    <row r="32" spans="1:14" x14ac:dyDescent="0.3">
      <c r="A32" s="1">
        <v>38169</v>
      </c>
      <c r="B32">
        <v>1101.719971</v>
      </c>
      <c r="C32">
        <v>14.72</v>
      </c>
      <c r="D32">
        <v>33.25</v>
      </c>
      <c r="E32">
        <v>28.49</v>
      </c>
      <c r="F32">
        <v>10.51</v>
      </c>
      <c r="G32" s="2">
        <v>1.36</v>
      </c>
      <c r="H32" s="2"/>
      <c r="I32" s="1">
        <v>38169</v>
      </c>
      <c r="J32">
        <f t="shared" si="0"/>
        <v>-3.4892234735206333</v>
      </c>
      <c r="K32">
        <f t="shared" si="1"/>
        <v>-0.24539539475605521</v>
      </c>
      <c r="L32">
        <f t="shared" si="2"/>
        <v>0.11333333333333334</v>
      </c>
      <c r="M32">
        <f t="shared" si="3"/>
        <v>-3.6025568068539666</v>
      </c>
      <c r="N32">
        <f t="shared" si="4"/>
        <v>-0.35872872808938855</v>
      </c>
    </row>
    <row r="33" spans="1:14" x14ac:dyDescent="0.3">
      <c r="A33" s="1">
        <v>38200</v>
      </c>
      <c r="B33">
        <v>1104.23999</v>
      </c>
      <c r="C33">
        <v>14.11</v>
      </c>
      <c r="D33">
        <v>32.790000999999997</v>
      </c>
      <c r="E33">
        <v>27.299999</v>
      </c>
      <c r="F33">
        <v>9.9700000000000006</v>
      </c>
      <c r="G33" s="2">
        <v>1.5</v>
      </c>
      <c r="H33" s="2"/>
      <c r="I33" s="1">
        <v>38200</v>
      </c>
      <c r="J33">
        <f t="shared" si="0"/>
        <v>0.22847378381895284</v>
      </c>
      <c r="K33">
        <f t="shared" si="1"/>
        <v>-4.2666482948940132</v>
      </c>
      <c r="L33">
        <f t="shared" si="2"/>
        <v>0.125</v>
      </c>
      <c r="M33">
        <f t="shared" si="3"/>
        <v>0.10347378381895284</v>
      </c>
      <c r="N33">
        <f t="shared" si="4"/>
        <v>-4.3916482948940132</v>
      </c>
    </row>
    <row r="34" spans="1:14" x14ac:dyDescent="0.3">
      <c r="A34" s="1">
        <v>38231</v>
      </c>
      <c r="B34">
        <v>1114.579956</v>
      </c>
      <c r="C34">
        <v>14.05</v>
      </c>
      <c r="D34">
        <v>33.580002</v>
      </c>
      <c r="E34">
        <v>27.65</v>
      </c>
      <c r="F34">
        <v>11.28</v>
      </c>
      <c r="G34" s="2">
        <v>1.68</v>
      </c>
      <c r="H34" s="2"/>
      <c r="I34" s="1">
        <v>38231</v>
      </c>
      <c r="J34">
        <f t="shared" si="0"/>
        <v>0.93203063814545883</v>
      </c>
      <c r="K34">
        <f t="shared" si="1"/>
        <v>1.2739062407466963</v>
      </c>
      <c r="L34">
        <f t="shared" si="2"/>
        <v>0.13999999999999999</v>
      </c>
      <c r="M34">
        <f t="shared" si="3"/>
        <v>0.79203063814545882</v>
      </c>
      <c r="N34">
        <f t="shared" si="4"/>
        <v>1.1339062407466964</v>
      </c>
    </row>
    <row r="35" spans="1:14" x14ac:dyDescent="0.3">
      <c r="A35" s="1">
        <v>38261</v>
      </c>
      <c r="B35">
        <v>1130.1999510000001</v>
      </c>
      <c r="C35">
        <v>13.03</v>
      </c>
      <c r="D35">
        <v>34.119999</v>
      </c>
      <c r="E35">
        <v>27.969999000000001</v>
      </c>
      <c r="F35">
        <v>12.66</v>
      </c>
      <c r="G35" s="2">
        <v>1.79</v>
      </c>
      <c r="H35" s="2"/>
      <c r="I35" s="1">
        <v>38261</v>
      </c>
      <c r="J35">
        <f t="shared" si="0"/>
        <v>1.3916951999808542</v>
      </c>
      <c r="K35">
        <f t="shared" si="1"/>
        <v>1.1506743492931892</v>
      </c>
      <c r="L35">
        <f t="shared" si="2"/>
        <v>0.14916666666666667</v>
      </c>
      <c r="M35">
        <f t="shared" si="3"/>
        <v>1.2425285333141876</v>
      </c>
      <c r="N35">
        <f t="shared" si="4"/>
        <v>1.0015076826265226</v>
      </c>
    </row>
    <row r="36" spans="1:14" x14ac:dyDescent="0.3">
      <c r="A36" s="1">
        <v>38292</v>
      </c>
      <c r="B36">
        <v>1173.780029</v>
      </c>
      <c r="C36">
        <v>14.18</v>
      </c>
      <c r="D36">
        <v>35.360000999999997</v>
      </c>
      <c r="E36">
        <v>26.809999000000001</v>
      </c>
      <c r="F36">
        <v>12.74</v>
      </c>
      <c r="G36" s="2">
        <v>2.11</v>
      </c>
      <c r="H36" s="2"/>
      <c r="I36" s="1">
        <v>38292</v>
      </c>
      <c r="J36">
        <f t="shared" si="0"/>
        <v>3.7834770167195373</v>
      </c>
      <c r="K36">
        <f t="shared" si="1"/>
        <v>-4.2357556512923553</v>
      </c>
      <c r="L36">
        <f t="shared" si="2"/>
        <v>0.17583333333333331</v>
      </c>
      <c r="M36">
        <f t="shared" si="3"/>
        <v>3.607643683386204</v>
      </c>
      <c r="N36">
        <f t="shared" si="4"/>
        <v>-4.4115889846256886</v>
      </c>
    </row>
    <row r="37" spans="1:14" x14ac:dyDescent="0.3">
      <c r="A37" s="1">
        <v>38322</v>
      </c>
      <c r="B37">
        <v>1211.920044</v>
      </c>
      <c r="C37">
        <v>14.64</v>
      </c>
      <c r="D37">
        <v>36.5</v>
      </c>
      <c r="E37">
        <v>26.719999000000001</v>
      </c>
      <c r="F37">
        <v>13.72</v>
      </c>
      <c r="G37" s="2">
        <v>2.2200000000000002</v>
      </c>
      <c r="H37" s="2"/>
      <c r="I37" s="1">
        <v>38322</v>
      </c>
      <c r="J37">
        <f t="shared" si="0"/>
        <v>3.1976580148315179</v>
      </c>
      <c r="K37">
        <f t="shared" si="1"/>
        <v>-0.33626037050575569</v>
      </c>
      <c r="L37">
        <f t="shared" si="2"/>
        <v>0.18500000000000003</v>
      </c>
      <c r="M37">
        <f t="shared" si="3"/>
        <v>3.0126580148315178</v>
      </c>
      <c r="N37">
        <f t="shared" si="4"/>
        <v>-0.52126037050575569</v>
      </c>
    </row>
    <row r="38" spans="1:14" x14ac:dyDescent="0.3">
      <c r="A38" s="1">
        <v>38353</v>
      </c>
      <c r="B38">
        <v>1181.2700199999999</v>
      </c>
      <c r="C38">
        <v>13.17</v>
      </c>
      <c r="D38">
        <v>36.130001</v>
      </c>
      <c r="E38">
        <v>26.280000999999999</v>
      </c>
      <c r="F38">
        <v>13.77</v>
      </c>
      <c r="G38" s="2">
        <v>2.37</v>
      </c>
      <c r="H38" s="2"/>
      <c r="I38" s="1">
        <v>38353</v>
      </c>
      <c r="J38">
        <f t="shared" si="0"/>
        <v>-2.5615767343611888</v>
      </c>
      <c r="K38">
        <f t="shared" si="1"/>
        <v>-1.6604079575135271</v>
      </c>
      <c r="L38">
        <f t="shared" si="2"/>
        <v>0.19750000000000001</v>
      </c>
      <c r="M38">
        <f t="shared" si="3"/>
        <v>-2.7590767343611891</v>
      </c>
      <c r="N38">
        <f t="shared" si="4"/>
        <v>-1.8579079575135271</v>
      </c>
    </row>
    <row r="39" spans="1:14" x14ac:dyDescent="0.3">
      <c r="A39" s="1">
        <v>38384</v>
      </c>
      <c r="B39">
        <v>1203.599976</v>
      </c>
      <c r="C39">
        <v>12.65</v>
      </c>
      <c r="D39">
        <v>35.200001</v>
      </c>
      <c r="E39">
        <v>25.16</v>
      </c>
      <c r="F39">
        <v>12.95</v>
      </c>
      <c r="G39" s="2">
        <v>2.58</v>
      </c>
      <c r="H39" s="2"/>
      <c r="I39" s="1">
        <v>38384</v>
      </c>
      <c r="J39">
        <f t="shared" si="0"/>
        <v>1.8726898003228021</v>
      </c>
      <c r="K39">
        <f t="shared" si="1"/>
        <v>-4.3552799835919611</v>
      </c>
      <c r="L39">
        <f t="shared" si="2"/>
        <v>0.215</v>
      </c>
      <c r="M39">
        <f t="shared" si="3"/>
        <v>1.657689800322802</v>
      </c>
      <c r="N39">
        <f t="shared" si="4"/>
        <v>-4.570279983591961</v>
      </c>
    </row>
    <row r="40" spans="1:14" x14ac:dyDescent="0.3">
      <c r="A40" s="1">
        <v>38412</v>
      </c>
      <c r="B40">
        <v>1180.589966</v>
      </c>
      <c r="C40">
        <v>11.33</v>
      </c>
      <c r="D40">
        <v>36.060001</v>
      </c>
      <c r="E40">
        <v>24.17</v>
      </c>
      <c r="F40">
        <v>12.48</v>
      </c>
      <c r="G40" s="2">
        <v>2.8</v>
      </c>
      <c r="H40" s="2"/>
      <c r="I40" s="1">
        <v>38412</v>
      </c>
      <c r="J40">
        <f t="shared" si="0"/>
        <v>-1.9302761113509079</v>
      </c>
      <c r="K40">
        <f t="shared" si="1"/>
        <v>-4.0143237116848072</v>
      </c>
      <c r="L40">
        <f t="shared" si="2"/>
        <v>0.23333333333333331</v>
      </c>
      <c r="M40">
        <f t="shared" si="3"/>
        <v>-2.1636094446842411</v>
      </c>
      <c r="N40">
        <f t="shared" si="4"/>
        <v>-4.2476570450181406</v>
      </c>
    </row>
    <row r="41" spans="1:14" x14ac:dyDescent="0.3">
      <c r="A41" s="1">
        <v>38443</v>
      </c>
      <c r="B41">
        <v>1156.849976</v>
      </c>
      <c r="C41">
        <v>9.11</v>
      </c>
      <c r="D41">
        <v>36.200001</v>
      </c>
      <c r="E41">
        <v>25.299999</v>
      </c>
      <c r="F41">
        <v>11.56</v>
      </c>
      <c r="G41" s="2">
        <v>2.84</v>
      </c>
      <c r="H41" s="2"/>
      <c r="I41" s="1">
        <v>38443</v>
      </c>
      <c r="J41">
        <f t="shared" si="0"/>
        <v>-2.0313511294501643</v>
      </c>
      <c r="K41">
        <f t="shared" si="1"/>
        <v>4.56921614923903</v>
      </c>
      <c r="L41">
        <f t="shared" si="2"/>
        <v>0.23666666666666666</v>
      </c>
      <c r="M41">
        <f t="shared" si="3"/>
        <v>-2.2680177961168311</v>
      </c>
      <c r="N41">
        <f t="shared" si="4"/>
        <v>4.3325494825723636</v>
      </c>
    </row>
    <row r="42" spans="1:14" x14ac:dyDescent="0.3">
      <c r="A42" s="1">
        <v>38473</v>
      </c>
      <c r="B42">
        <v>1191.5</v>
      </c>
      <c r="C42">
        <v>9.98</v>
      </c>
      <c r="D42">
        <v>36.479999999999997</v>
      </c>
      <c r="E42">
        <v>25.799999</v>
      </c>
      <c r="F42">
        <v>12.8</v>
      </c>
      <c r="G42" s="2">
        <v>2.9</v>
      </c>
      <c r="H42" s="2"/>
      <c r="I42" s="1">
        <v>38473</v>
      </c>
      <c r="J42">
        <f t="shared" si="0"/>
        <v>2.9512244131097209</v>
      </c>
      <c r="K42">
        <f t="shared" si="1"/>
        <v>1.9570096960098964</v>
      </c>
      <c r="L42">
        <f t="shared" si="2"/>
        <v>0.24166666666666667</v>
      </c>
      <c r="M42">
        <f t="shared" si="3"/>
        <v>2.7095577464430542</v>
      </c>
      <c r="N42">
        <f t="shared" si="4"/>
        <v>1.7153430293432297</v>
      </c>
    </row>
    <row r="43" spans="1:14" x14ac:dyDescent="0.3">
      <c r="A43" s="1">
        <v>38504</v>
      </c>
      <c r="B43">
        <v>1191.329956</v>
      </c>
      <c r="C43">
        <v>10.24</v>
      </c>
      <c r="D43">
        <v>34.650002000000001</v>
      </c>
      <c r="E43">
        <v>24.84</v>
      </c>
      <c r="F43">
        <v>13.2</v>
      </c>
      <c r="G43" s="2">
        <v>3.04</v>
      </c>
      <c r="H43" s="2"/>
      <c r="I43" s="1">
        <v>38504</v>
      </c>
      <c r="J43">
        <f t="shared" si="0"/>
        <v>-1.4272441040996394E-2</v>
      </c>
      <c r="K43">
        <f t="shared" si="1"/>
        <v>-3.7919196102603059</v>
      </c>
      <c r="L43">
        <f t="shared" si="2"/>
        <v>0.25333333333333335</v>
      </c>
      <c r="M43">
        <f t="shared" si="3"/>
        <v>-0.26760577437432975</v>
      </c>
      <c r="N43">
        <f t="shared" si="4"/>
        <v>-4.0452529435936393</v>
      </c>
    </row>
    <row r="44" spans="1:14" x14ac:dyDescent="0.3">
      <c r="A44" s="1">
        <v>38534</v>
      </c>
      <c r="B44">
        <v>1234.1800539999999</v>
      </c>
      <c r="C44">
        <v>10.74</v>
      </c>
      <c r="D44">
        <v>34.5</v>
      </c>
      <c r="E44">
        <v>25.610001</v>
      </c>
      <c r="F44">
        <v>13.57</v>
      </c>
      <c r="G44" s="2">
        <v>3.29</v>
      </c>
      <c r="H44" s="2"/>
      <c r="I44" s="1">
        <v>38534</v>
      </c>
      <c r="J44">
        <f t="shared" si="0"/>
        <v>3.5336532551987196</v>
      </c>
      <c r="K44">
        <f t="shared" si="1"/>
        <v>3.0527682193402224</v>
      </c>
      <c r="L44">
        <f t="shared" si="2"/>
        <v>0.27416666666666667</v>
      </c>
      <c r="M44">
        <f t="shared" si="3"/>
        <v>3.2594865885320532</v>
      </c>
      <c r="N44">
        <f t="shared" si="4"/>
        <v>2.7786015526735559</v>
      </c>
    </row>
    <row r="45" spans="1:14" x14ac:dyDescent="0.3">
      <c r="A45" s="1">
        <v>38565</v>
      </c>
      <c r="B45">
        <v>1220.329956</v>
      </c>
      <c r="C45">
        <v>9.9700000000000006</v>
      </c>
      <c r="D45">
        <v>33.610000999999997</v>
      </c>
      <c r="E45">
        <v>27.379999000000002</v>
      </c>
      <c r="F45">
        <v>12.99</v>
      </c>
      <c r="G45" s="2">
        <v>3.52</v>
      </c>
      <c r="H45" s="2"/>
      <c r="I45" s="1">
        <v>38565</v>
      </c>
      <c r="J45">
        <f t="shared" si="0"/>
        <v>-1.1285547781927063</v>
      </c>
      <c r="K45">
        <f t="shared" si="1"/>
        <v>6.682984407861241</v>
      </c>
      <c r="L45">
        <f t="shared" si="2"/>
        <v>0.29333333333333333</v>
      </c>
      <c r="M45">
        <f t="shared" si="3"/>
        <v>-1.4218881115260396</v>
      </c>
      <c r="N45">
        <f t="shared" si="4"/>
        <v>6.389651074527908</v>
      </c>
    </row>
    <row r="46" spans="1:14" x14ac:dyDescent="0.3">
      <c r="A46" s="1">
        <v>38596</v>
      </c>
      <c r="B46">
        <v>1228.8100589999999</v>
      </c>
      <c r="C46">
        <v>9.86</v>
      </c>
      <c r="D46">
        <v>33.669998</v>
      </c>
      <c r="E46">
        <v>25.73</v>
      </c>
      <c r="F46">
        <v>12.4</v>
      </c>
      <c r="G46" s="2">
        <v>3.49</v>
      </c>
      <c r="H46" s="2"/>
      <c r="I46" s="1">
        <v>38596</v>
      </c>
      <c r="J46">
        <f t="shared" si="0"/>
        <v>0.69249914966113213</v>
      </c>
      <c r="K46">
        <f t="shared" si="1"/>
        <v>-6.2155157043639875</v>
      </c>
      <c r="L46">
        <f t="shared" si="2"/>
        <v>0.29083333333333333</v>
      </c>
      <c r="M46">
        <f t="shared" si="3"/>
        <v>0.4016658163277988</v>
      </c>
      <c r="N46">
        <f t="shared" si="4"/>
        <v>-6.506349037697321</v>
      </c>
    </row>
    <row r="47" spans="1:14" x14ac:dyDescent="0.3">
      <c r="A47" s="1">
        <v>38626</v>
      </c>
      <c r="B47">
        <v>1207.01001</v>
      </c>
      <c r="C47">
        <v>8.32</v>
      </c>
      <c r="D47">
        <v>33.909999999999997</v>
      </c>
      <c r="E47">
        <v>25.700001</v>
      </c>
      <c r="F47">
        <v>12.68</v>
      </c>
      <c r="G47" s="2">
        <v>3.79</v>
      </c>
      <c r="H47" s="2"/>
      <c r="I47" s="1">
        <v>38626</v>
      </c>
      <c r="J47">
        <f t="shared" si="0"/>
        <v>-1.790003404276953</v>
      </c>
      <c r="K47">
        <f t="shared" si="1"/>
        <v>-0.11665954819736143</v>
      </c>
      <c r="L47">
        <f t="shared" si="2"/>
        <v>0.31583333333333335</v>
      </c>
      <c r="M47">
        <f t="shared" si="3"/>
        <v>-2.1058367376102862</v>
      </c>
      <c r="N47">
        <f t="shared" si="4"/>
        <v>-0.43249288153069476</v>
      </c>
    </row>
    <row r="48" spans="1:14" x14ac:dyDescent="0.3">
      <c r="A48" s="1">
        <v>38657</v>
      </c>
      <c r="B48">
        <v>1249.4799800000001</v>
      </c>
      <c r="C48">
        <v>8.1300000000000008</v>
      </c>
      <c r="D48">
        <v>35.720001000000003</v>
      </c>
      <c r="E48">
        <v>27.68</v>
      </c>
      <c r="F48">
        <v>12.6</v>
      </c>
      <c r="G48" s="2">
        <v>3.97</v>
      </c>
      <c r="H48" s="2"/>
      <c r="I48" s="1">
        <v>38657</v>
      </c>
      <c r="J48">
        <f t="shared" si="0"/>
        <v>3.4581213385394465</v>
      </c>
      <c r="K48">
        <f t="shared" si="1"/>
        <v>7.4219099937789537</v>
      </c>
      <c r="L48">
        <f t="shared" si="2"/>
        <v>0.33083333333333337</v>
      </c>
      <c r="M48">
        <f t="shared" si="3"/>
        <v>3.1272880052061129</v>
      </c>
      <c r="N48">
        <f t="shared" si="4"/>
        <v>7.0910766604456201</v>
      </c>
    </row>
    <row r="49" spans="1:14" x14ac:dyDescent="0.3">
      <c r="A49" s="1">
        <v>38687</v>
      </c>
      <c r="B49">
        <v>1248.290039</v>
      </c>
      <c r="C49">
        <v>7.72</v>
      </c>
      <c r="D49">
        <v>35.049999</v>
      </c>
      <c r="E49">
        <v>26.15</v>
      </c>
      <c r="F49">
        <v>12.21</v>
      </c>
      <c r="G49" s="2">
        <v>3.97</v>
      </c>
      <c r="H49" s="2"/>
      <c r="I49" s="1">
        <v>38687</v>
      </c>
      <c r="J49">
        <f t="shared" si="0"/>
        <v>-9.528027648428361E-2</v>
      </c>
      <c r="K49">
        <f t="shared" si="1"/>
        <v>-5.6860940238536894</v>
      </c>
      <c r="L49">
        <f t="shared" si="2"/>
        <v>0.33083333333333337</v>
      </c>
      <c r="M49">
        <f t="shared" si="3"/>
        <v>-0.42611360981761698</v>
      </c>
      <c r="N49">
        <f t="shared" si="4"/>
        <v>-6.016927357187023</v>
      </c>
    </row>
    <row r="50" spans="1:14" x14ac:dyDescent="0.3">
      <c r="A50" s="1">
        <v>38718</v>
      </c>
      <c r="B50">
        <v>1280.079956</v>
      </c>
      <c r="C50">
        <v>8.58</v>
      </c>
      <c r="D50">
        <v>32.75</v>
      </c>
      <c r="E50">
        <v>28.15</v>
      </c>
      <c r="F50">
        <v>12.57</v>
      </c>
      <c r="G50" s="2">
        <v>4.34</v>
      </c>
      <c r="H50" s="2"/>
      <c r="I50" s="1">
        <v>38718</v>
      </c>
      <c r="J50">
        <f t="shared" si="0"/>
        <v>2.5147895614926354</v>
      </c>
      <c r="K50">
        <f t="shared" si="1"/>
        <v>7.3698164074767467</v>
      </c>
      <c r="L50">
        <f t="shared" si="2"/>
        <v>0.36166666666666664</v>
      </c>
      <c r="M50">
        <f t="shared" si="3"/>
        <v>2.1531228948259686</v>
      </c>
      <c r="N50">
        <f t="shared" si="4"/>
        <v>7.0081497408100804</v>
      </c>
    </row>
    <row r="51" spans="1:14" x14ac:dyDescent="0.3">
      <c r="A51" s="1">
        <v>38749</v>
      </c>
      <c r="B51">
        <v>1280.660034</v>
      </c>
      <c r="C51">
        <v>7.97</v>
      </c>
      <c r="D51">
        <v>32.869999</v>
      </c>
      <c r="E51">
        <v>26.870000999999998</v>
      </c>
      <c r="F51">
        <v>12.42</v>
      </c>
      <c r="G51" s="2">
        <v>4.54</v>
      </c>
      <c r="H51" s="2"/>
      <c r="I51" s="1">
        <v>38749</v>
      </c>
      <c r="J51">
        <f t="shared" si="0"/>
        <v>4.5305498581463481E-2</v>
      </c>
      <c r="K51">
        <f t="shared" si="1"/>
        <v>-4.6536894742073915</v>
      </c>
      <c r="L51">
        <f t="shared" si="2"/>
        <v>0.37833333333333335</v>
      </c>
      <c r="M51">
        <f t="shared" si="3"/>
        <v>-0.33302783475186987</v>
      </c>
      <c r="N51">
        <f t="shared" si="4"/>
        <v>-5.0320228075407245</v>
      </c>
    </row>
    <row r="52" spans="1:14" x14ac:dyDescent="0.3">
      <c r="A52" s="1">
        <v>38777</v>
      </c>
      <c r="B52">
        <v>1302.880005</v>
      </c>
      <c r="C52">
        <v>7.96</v>
      </c>
      <c r="D52">
        <v>34.779998999999997</v>
      </c>
      <c r="E52">
        <v>27.209999</v>
      </c>
      <c r="F52">
        <v>13.69</v>
      </c>
      <c r="G52" s="2">
        <v>4.63</v>
      </c>
      <c r="H52" s="2"/>
      <c r="I52" s="1">
        <v>38777</v>
      </c>
      <c r="J52">
        <f t="shared" si="0"/>
        <v>1.7201605982891606</v>
      </c>
      <c r="K52">
        <f t="shared" si="1"/>
        <v>1.2574056200334411</v>
      </c>
      <c r="L52">
        <f t="shared" si="2"/>
        <v>0.38583333333333331</v>
      </c>
      <c r="M52">
        <f t="shared" si="3"/>
        <v>1.3343272649558273</v>
      </c>
      <c r="N52">
        <f t="shared" si="4"/>
        <v>0.87157228670010789</v>
      </c>
    </row>
    <row r="53" spans="1:14" x14ac:dyDescent="0.3">
      <c r="A53" s="1">
        <v>38808</v>
      </c>
      <c r="B53">
        <v>1310.6099850000001</v>
      </c>
      <c r="C53">
        <v>6.95</v>
      </c>
      <c r="D53">
        <v>34.590000000000003</v>
      </c>
      <c r="E53">
        <v>24.15</v>
      </c>
      <c r="F53">
        <v>14.59</v>
      </c>
      <c r="G53" s="2">
        <v>4.72</v>
      </c>
      <c r="H53" s="2"/>
      <c r="I53" s="1">
        <v>38808</v>
      </c>
      <c r="J53">
        <f t="shared" si="0"/>
        <v>0.59154636678491934</v>
      </c>
      <c r="K53">
        <f t="shared" si="1"/>
        <v>-11.930013594537821</v>
      </c>
      <c r="L53">
        <f t="shared" si="2"/>
        <v>0.39333333333333331</v>
      </c>
      <c r="M53">
        <f t="shared" si="3"/>
        <v>0.19821303345158603</v>
      </c>
      <c r="N53">
        <f t="shared" si="4"/>
        <v>-12.323346927871153</v>
      </c>
    </row>
    <row r="54" spans="1:14" x14ac:dyDescent="0.3">
      <c r="A54" s="1">
        <v>38838</v>
      </c>
      <c r="B54">
        <v>1270.0500489999999</v>
      </c>
      <c r="C54">
        <v>7.16</v>
      </c>
      <c r="D54">
        <v>34.259998000000003</v>
      </c>
      <c r="E54">
        <v>22.65</v>
      </c>
      <c r="F54">
        <v>14.22</v>
      </c>
      <c r="G54" s="2">
        <v>4.84</v>
      </c>
      <c r="H54" s="2"/>
      <c r="I54" s="1">
        <v>38838</v>
      </c>
      <c r="J54">
        <f t="shared" si="0"/>
        <v>-3.1436357886768942</v>
      </c>
      <c r="K54">
        <f t="shared" si="1"/>
        <v>-6.4124528169538673</v>
      </c>
      <c r="L54">
        <f t="shared" si="2"/>
        <v>0.40333333333333332</v>
      </c>
      <c r="M54">
        <f t="shared" si="3"/>
        <v>-3.5469691220102275</v>
      </c>
      <c r="N54">
        <f t="shared" si="4"/>
        <v>-6.8157861502872006</v>
      </c>
    </row>
    <row r="55" spans="1:14" x14ac:dyDescent="0.3">
      <c r="A55" s="1">
        <v>38869</v>
      </c>
      <c r="B55">
        <v>1270.0600589999999</v>
      </c>
      <c r="C55">
        <v>6.93</v>
      </c>
      <c r="D55">
        <v>32.959999000000003</v>
      </c>
      <c r="E55">
        <v>23.299999</v>
      </c>
      <c r="F55">
        <v>14.49</v>
      </c>
      <c r="G55" s="2">
        <v>4.92</v>
      </c>
      <c r="H55" s="2"/>
      <c r="I55" s="1">
        <v>38869</v>
      </c>
      <c r="J55">
        <f t="shared" si="0"/>
        <v>7.881548101835536E-4</v>
      </c>
      <c r="K55">
        <f t="shared" si="1"/>
        <v>2.8293465724156062</v>
      </c>
      <c r="L55">
        <f t="shared" si="2"/>
        <v>0.41</v>
      </c>
      <c r="M55">
        <f t="shared" si="3"/>
        <v>-0.4092118451898164</v>
      </c>
      <c r="N55">
        <f t="shared" si="4"/>
        <v>2.419346572415606</v>
      </c>
    </row>
    <row r="56" spans="1:14" x14ac:dyDescent="0.3">
      <c r="A56" s="1">
        <v>38899</v>
      </c>
      <c r="B56">
        <v>1278.530029</v>
      </c>
      <c r="C56">
        <v>6.67</v>
      </c>
      <c r="D56">
        <v>32.689999</v>
      </c>
      <c r="E56">
        <v>24.059999000000001</v>
      </c>
      <c r="F56">
        <v>14.97</v>
      </c>
      <c r="G56" s="2">
        <v>5.08</v>
      </c>
      <c r="H56" s="2"/>
      <c r="I56" s="1">
        <v>38899</v>
      </c>
      <c r="J56">
        <f t="shared" si="0"/>
        <v>0.66468132506309252</v>
      </c>
      <c r="K56">
        <f t="shared" si="1"/>
        <v>3.2097351330573254</v>
      </c>
      <c r="L56">
        <f t="shared" si="2"/>
        <v>0.42333333333333334</v>
      </c>
      <c r="M56">
        <f t="shared" si="3"/>
        <v>0.24134799172975918</v>
      </c>
      <c r="N56">
        <f t="shared" si="4"/>
        <v>2.786401799723992</v>
      </c>
    </row>
    <row r="57" spans="1:14" x14ac:dyDescent="0.3">
      <c r="A57" s="1">
        <v>38930</v>
      </c>
      <c r="B57">
        <v>1303.8000489999999</v>
      </c>
      <c r="C57">
        <v>8.3699999999999992</v>
      </c>
      <c r="D57">
        <v>34.060001</v>
      </c>
      <c r="E57">
        <v>25.700001</v>
      </c>
      <c r="F57">
        <v>15.66</v>
      </c>
      <c r="G57" s="2">
        <v>5.09</v>
      </c>
      <c r="H57" s="2"/>
      <c r="I57" s="1">
        <v>38930</v>
      </c>
      <c r="J57">
        <f t="shared" si="0"/>
        <v>1.9572111936603334</v>
      </c>
      <c r="K57">
        <f t="shared" si="1"/>
        <v>6.5940361827906901</v>
      </c>
      <c r="L57">
        <f t="shared" si="2"/>
        <v>0.42416666666666664</v>
      </c>
      <c r="M57">
        <f t="shared" si="3"/>
        <v>1.5330445269936668</v>
      </c>
      <c r="N57">
        <f t="shared" si="4"/>
        <v>6.1698695161240238</v>
      </c>
    </row>
    <row r="58" spans="1:14" x14ac:dyDescent="0.3">
      <c r="A58" s="1">
        <v>38961</v>
      </c>
      <c r="B58">
        <v>1335.8199460000001</v>
      </c>
      <c r="C58">
        <v>8.09</v>
      </c>
      <c r="D58">
        <v>35.299999</v>
      </c>
      <c r="E58">
        <v>27.35</v>
      </c>
      <c r="F58">
        <v>17.739999999999998</v>
      </c>
      <c r="G58" s="2">
        <v>4.93</v>
      </c>
      <c r="H58" s="2"/>
      <c r="I58" s="1">
        <v>38961</v>
      </c>
      <c r="J58">
        <f t="shared" si="0"/>
        <v>2.4262179983196162</v>
      </c>
      <c r="K58">
        <f t="shared" si="1"/>
        <v>6.2225498056311146</v>
      </c>
      <c r="L58">
        <f t="shared" si="2"/>
        <v>0.41083333333333333</v>
      </c>
      <c r="M58">
        <f t="shared" si="3"/>
        <v>2.015384664986283</v>
      </c>
      <c r="N58">
        <f t="shared" si="4"/>
        <v>5.811716472297781</v>
      </c>
    </row>
    <row r="59" spans="1:14" x14ac:dyDescent="0.3">
      <c r="A59" s="1">
        <v>38991</v>
      </c>
      <c r="B59">
        <v>1377.76001</v>
      </c>
      <c r="C59">
        <v>8.2799999999999994</v>
      </c>
      <c r="D59">
        <v>35.110000999999997</v>
      </c>
      <c r="E59">
        <v>28.709999</v>
      </c>
      <c r="F59">
        <v>18.469999000000001</v>
      </c>
      <c r="G59" s="2">
        <v>5.05</v>
      </c>
      <c r="H59" s="2"/>
      <c r="I59" s="1">
        <v>38991</v>
      </c>
      <c r="J59">
        <f t="shared" si="0"/>
        <v>3.0913704149927614</v>
      </c>
      <c r="K59">
        <f t="shared" si="1"/>
        <v>4.8528930433912469</v>
      </c>
      <c r="L59">
        <f t="shared" si="2"/>
        <v>0.42083333333333334</v>
      </c>
      <c r="M59">
        <f t="shared" si="3"/>
        <v>2.670537081659428</v>
      </c>
      <c r="N59">
        <f t="shared" si="4"/>
        <v>4.4320597100579135</v>
      </c>
    </row>
    <row r="60" spans="1:14" x14ac:dyDescent="0.3">
      <c r="A60" s="1">
        <v>39022</v>
      </c>
      <c r="B60">
        <v>1400.630005</v>
      </c>
      <c r="C60">
        <v>8.1300000000000008</v>
      </c>
      <c r="D60">
        <v>35.279998999999997</v>
      </c>
      <c r="E60">
        <v>29.360001</v>
      </c>
      <c r="F60">
        <v>19.049999</v>
      </c>
      <c r="G60" s="2">
        <v>5.07</v>
      </c>
      <c r="H60" s="2"/>
      <c r="I60" s="1">
        <v>39022</v>
      </c>
      <c r="J60">
        <f t="shared" si="0"/>
        <v>1.6463139747523761</v>
      </c>
      <c r="K60">
        <f t="shared" si="1"/>
        <v>2.238777850435719</v>
      </c>
      <c r="L60">
        <f t="shared" si="2"/>
        <v>0.42250000000000004</v>
      </c>
      <c r="M60">
        <f t="shared" si="3"/>
        <v>1.223813974752376</v>
      </c>
      <c r="N60">
        <f t="shared" si="4"/>
        <v>1.8162778504357189</v>
      </c>
    </row>
    <row r="61" spans="1:14" x14ac:dyDescent="0.3">
      <c r="A61" s="1">
        <v>39052</v>
      </c>
      <c r="B61">
        <v>1418.030029</v>
      </c>
      <c r="C61">
        <v>7.51</v>
      </c>
      <c r="D61">
        <v>37.209999000000003</v>
      </c>
      <c r="E61">
        <v>29.860001</v>
      </c>
      <c r="F61">
        <v>17.139999</v>
      </c>
      <c r="G61" s="2">
        <v>4.97</v>
      </c>
      <c r="H61" s="2"/>
      <c r="I61" s="1">
        <v>39052</v>
      </c>
      <c r="J61">
        <f t="shared" si="0"/>
        <v>1.2346465924179335</v>
      </c>
      <c r="K61">
        <f t="shared" si="1"/>
        <v>1.6886587794402304</v>
      </c>
      <c r="L61">
        <f t="shared" si="2"/>
        <v>0.41416666666666663</v>
      </c>
      <c r="M61">
        <f t="shared" si="3"/>
        <v>0.82047992575126694</v>
      </c>
      <c r="N61">
        <f t="shared" si="4"/>
        <v>1.2744921127735638</v>
      </c>
    </row>
    <row r="62" spans="1:14" x14ac:dyDescent="0.3">
      <c r="A62" s="1">
        <v>39083</v>
      </c>
      <c r="B62">
        <v>1437.900024</v>
      </c>
      <c r="C62">
        <v>8.1300000000000008</v>
      </c>
      <c r="D62">
        <v>36.049999</v>
      </c>
      <c r="E62">
        <v>30.860001</v>
      </c>
      <c r="F62">
        <v>17.16</v>
      </c>
      <c r="G62" s="2">
        <v>5.1100000000000003</v>
      </c>
      <c r="H62" s="2"/>
      <c r="I62" s="1">
        <v>39083</v>
      </c>
      <c r="J62">
        <f t="shared" si="0"/>
        <v>1.391512764698674</v>
      </c>
      <c r="K62">
        <f t="shared" si="1"/>
        <v>3.2941053738759218</v>
      </c>
      <c r="L62">
        <f t="shared" si="2"/>
        <v>0.42583333333333334</v>
      </c>
      <c r="M62">
        <f t="shared" si="3"/>
        <v>0.96567943136534073</v>
      </c>
      <c r="N62">
        <f t="shared" si="4"/>
        <v>2.8682720405425886</v>
      </c>
    </row>
    <row r="63" spans="1:14" x14ac:dyDescent="0.3">
      <c r="A63" s="1">
        <v>39114</v>
      </c>
      <c r="B63">
        <v>1406.8000489999999</v>
      </c>
      <c r="C63">
        <v>7.91</v>
      </c>
      <c r="D63">
        <v>34.909999999999997</v>
      </c>
      <c r="E63">
        <v>28.17</v>
      </c>
      <c r="F63">
        <v>16.43</v>
      </c>
      <c r="G63" s="2">
        <v>5.16</v>
      </c>
      <c r="H63" s="2"/>
      <c r="I63" s="1">
        <v>39114</v>
      </c>
      <c r="J63">
        <f t="shared" si="0"/>
        <v>-2.1866076094054452</v>
      </c>
      <c r="K63">
        <f t="shared" si="1"/>
        <v>-9.1203297451140006</v>
      </c>
      <c r="L63">
        <f t="shared" si="2"/>
        <v>0.43</v>
      </c>
      <c r="M63">
        <f t="shared" si="3"/>
        <v>-2.6166076094054453</v>
      </c>
      <c r="N63">
        <f t="shared" si="4"/>
        <v>-9.5503297451140003</v>
      </c>
    </row>
    <row r="64" spans="1:14" x14ac:dyDescent="0.3">
      <c r="A64" s="1">
        <v>39142</v>
      </c>
      <c r="B64">
        <v>1420.829956</v>
      </c>
      <c r="C64">
        <v>7.89</v>
      </c>
      <c r="D64">
        <v>35.360000999999997</v>
      </c>
      <c r="E64">
        <v>27.870000999999998</v>
      </c>
      <c r="F64">
        <v>18.129999000000002</v>
      </c>
      <c r="G64" s="2">
        <v>5.08</v>
      </c>
      <c r="H64" s="2"/>
      <c r="I64" s="1">
        <v>39142</v>
      </c>
      <c r="J64">
        <f t="shared" si="0"/>
        <v>0.99235204813913103</v>
      </c>
      <c r="K64">
        <f t="shared" si="1"/>
        <v>-1.0706704513549661</v>
      </c>
      <c r="L64">
        <f t="shared" si="2"/>
        <v>0.42333333333333334</v>
      </c>
      <c r="M64">
        <f t="shared" si="3"/>
        <v>0.56901871480579769</v>
      </c>
      <c r="N64">
        <f t="shared" si="4"/>
        <v>-1.4940037846882994</v>
      </c>
    </row>
    <row r="65" spans="1:14" x14ac:dyDescent="0.3">
      <c r="A65" s="1">
        <v>39173</v>
      </c>
      <c r="B65">
        <v>1482.369995</v>
      </c>
      <c r="C65">
        <v>8.0399999999999991</v>
      </c>
      <c r="D65">
        <v>36.860000999999997</v>
      </c>
      <c r="E65">
        <v>29.940000999999999</v>
      </c>
      <c r="F65">
        <v>18.799999</v>
      </c>
      <c r="G65" s="2">
        <v>5.01</v>
      </c>
      <c r="H65" s="2"/>
      <c r="I65" s="1">
        <v>39173</v>
      </c>
      <c r="J65">
        <f t="shared" si="0"/>
        <v>4.2400978028573926</v>
      </c>
      <c r="K65">
        <f t="shared" si="1"/>
        <v>7.1644535016883681</v>
      </c>
      <c r="L65">
        <f t="shared" si="2"/>
        <v>0.41749999999999998</v>
      </c>
      <c r="M65">
        <f t="shared" si="3"/>
        <v>3.8225978028573926</v>
      </c>
      <c r="N65">
        <f t="shared" si="4"/>
        <v>6.7469535016883686</v>
      </c>
    </row>
    <row r="66" spans="1:14" x14ac:dyDescent="0.3">
      <c r="A66" s="1">
        <v>39203</v>
      </c>
      <c r="B66">
        <v>1530.619995</v>
      </c>
      <c r="C66">
        <v>8.34</v>
      </c>
      <c r="D66">
        <v>37.580002</v>
      </c>
      <c r="E66">
        <v>30.690000999999999</v>
      </c>
      <c r="F66">
        <v>19.379999000000002</v>
      </c>
      <c r="G66" s="2">
        <v>4.87</v>
      </c>
      <c r="H66" s="2"/>
      <c r="I66" s="1">
        <v>39203</v>
      </c>
      <c r="J66">
        <f t="shared" si="0"/>
        <v>3.2030723854388308</v>
      </c>
      <c r="K66">
        <f t="shared" si="1"/>
        <v>2.47414888239325</v>
      </c>
      <c r="L66">
        <f t="shared" si="2"/>
        <v>0.40583333333333332</v>
      </c>
      <c r="M66">
        <f t="shared" si="3"/>
        <v>2.7972390521054975</v>
      </c>
      <c r="N66">
        <f t="shared" si="4"/>
        <v>2.0683155490599168</v>
      </c>
    </row>
    <row r="67" spans="1:14" x14ac:dyDescent="0.3">
      <c r="A67" s="1">
        <v>39234</v>
      </c>
      <c r="B67">
        <v>1504.660034</v>
      </c>
      <c r="C67">
        <v>9.42</v>
      </c>
      <c r="D67">
        <v>38.279998999999997</v>
      </c>
      <c r="E67">
        <v>29.469999000000001</v>
      </c>
      <c r="F67">
        <v>19.709999</v>
      </c>
      <c r="G67" s="2">
        <v>4.74</v>
      </c>
      <c r="H67" s="2"/>
      <c r="I67" s="1">
        <v>39234</v>
      </c>
      <c r="J67">
        <f t="shared" si="0"/>
        <v>-1.710589715914768</v>
      </c>
      <c r="K67">
        <f t="shared" si="1"/>
        <v>-4.0564138398758027</v>
      </c>
      <c r="L67">
        <f t="shared" si="2"/>
        <v>0.39500000000000002</v>
      </c>
      <c r="M67">
        <f t="shared" si="3"/>
        <v>-2.1055897159147681</v>
      </c>
      <c r="N67">
        <f t="shared" si="4"/>
        <v>-4.4514138398758032</v>
      </c>
    </row>
    <row r="68" spans="1:14" x14ac:dyDescent="0.3">
      <c r="A68" s="1">
        <v>39264</v>
      </c>
      <c r="B68">
        <v>1455.1800539999999</v>
      </c>
      <c r="C68">
        <v>8.51</v>
      </c>
      <c r="D68">
        <v>38.759998000000003</v>
      </c>
      <c r="E68">
        <v>28.99</v>
      </c>
      <c r="F68">
        <v>19.120000999999998</v>
      </c>
      <c r="G68" s="2">
        <v>4.96</v>
      </c>
      <c r="H68" s="2"/>
      <c r="I68" s="1">
        <v>39264</v>
      </c>
      <c r="J68">
        <f t="shared" ref="J68:J131" si="5">LN(B68/B67)*100</f>
        <v>-3.3437340232861414</v>
      </c>
      <c r="K68">
        <f t="shared" ref="K68:K131" si="6">LN(E68/E67)*100</f>
        <v>-1.6421819883225754</v>
      </c>
      <c r="L68">
        <f t="shared" ref="L68:L131" si="7">G68/12</f>
        <v>0.41333333333333333</v>
      </c>
      <c r="M68">
        <f t="shared" ref="M68:M131" si="8">J68-L68</f>
        <v>-3.7570673566194746</v>
      </c>
      <c r="N68">
        <f t="shared" ref="N68:N131" si="9">K68-L68</f>
        <v>-2.0555153216559088</v>
      </c>
    </row>
    <row r="69" spans="1:14" x14ac:dyDescent="0.3">
      <c r="A69" s="1">
        <v>39295</v>
      </c>
      <c r="B69">
        <v>1473.959961</v>
      </c>
      <c r="C69">
        <v>7.81</v>
      </c>
      <c r="D69">
        <v>38.869999</v>
      </c>
      <c r="E69">
        <v>28.73</v>
      </c>
      <c r="F69">
        <v>20.280000999999999</v>
      </c>
      <c r="G69" s="2">
        <v>4.32</v>
      </c>
      <c r="H69" s="2"/>
      <c r="I69" s="1">
        <v>39295</v>
      </c>
      <c r="J69">
        <f t="shared" si="5"/>
        <v>1.2822988476676078</v>
      </c>
      <c r="K69">
        <f t="shared" si="6"/>
        <v>-0.90090699423658571</v>
      </c>
      <c r="L69">
        <f t="shared" si="7"/>
        <v>0.36000000000000004</v>
      </c>
      <c r="M69">
        <f t="shared" si="8"/>
        <v>0.92229884766760772</v>
      </c>
      <c r="N69">
        <f t="shared" si="9"/>
        <v>-1.2609069942365858</v>
      </c>
    </row>
    <row r="70" spans="1:14" x14ac:dyDescent="0.3">
      <c r="A70" s="1">
        <v>39326</v>
      </c>
      <c r="B70">
        <v>1527.290039</v>
      </c>
      <c r="C70">
        <v>8.49</v>
      </c>
      <c r="D70">
        <v>41.400002000000001</v>
      </c>
      <c r="E70">
        <v>29.459999</v>
      </c>
      <c r="F70">
        <v>21.65</v>
      </c>
      <c r="G70" s="2">
        <v>3.99</v>
      </c>
      <c r="H70" s="2"/>
      <c r="I70" s="1">
        <v>39326</v>
      </c>
      <c r="J70">
        <f t="shared" si="5"/>
        <v>3.5542318708593403</v>
      </c>
      <c r="K70">
        <f t="shared" si="6"/>
        <v>2.5091504098954212</v>
      </c>
      <c r="L70">
        <f t="shared" si="7"/>
        <v>0.33250000000000002</v>
      </c>
      <c r="M70">
        <f t="shared" si="8"/>
        <v>3.2217318708593403</v>
      </c>
      <c r="N70">
        <f t="shared" si="9"/>
        <v>2.1766504098954211</v>
      </c>
    </row>
    <row r="71" spans="1:14" x14ac:dyDescent="0.3">
      <c r="A71" s="1">
        <v>39356</v>
      </c>
      <c r="B71">
        <v>1545.790039</v>
      </c>
      <c r="C71">
        <v>8.8699999999999992</v>
      </c>
      <c r="D71">
        <v>41.16</v>
      </c>
      <c r="E71">
        <v>36.810001</v>
      </c>
      <c r="F71">
        <v>22.17</v>
      </c>
      <c r="G71" s="2">
        <v>4</v>
      </c>
      <c r="H71" s="2"/>
      <c r="I71" s="1">
        <v>39356</v>
      </c>
      <c r="J71">
        <f t="shared" si="5"/>
        <v>1.204018315120913</v>
      </c>
      <c r="K71">
        <f t="shared" si="6"/>
        <v>22.273619746730784</v>
      </c>
      <c r="L71">
        <f t="shared" si="7"/>
        <v>0.33333333333333331</v>
      </c>
      <c r="M71">
        <f t="shared" si="8"/>
        <v>0.87068498178757969</v>
      </c>
      <c r="N71">
        <f t="shared" si="9"/>
        <v>21.940286413397452</v>
      </c>
    </row>
    <row r="72" spans="1:14" x14ac:dyDescent="0.3">
      <c r="A72" s="1">
        <v>39387</v>
      </c>
      <c r="B72">
        <v>1479.630005</v>
      </c>
      <c r="C72">
        <v>7.51</v>
      </c>
      <c r="D72">
        <v>38.290000999999997</v>
      </c>
      <c r="E72">
        <v>33.599997999999999</v>
      </c>
      <c r="F72">
        <v>20.18</v>
      </c>
      <c r="G72" s="2">
        <v>3.35</v>
      </c>
      <c r="H72" s="2"/>
      <c r="I72" s="1">
        <v>39387</v>
      </c>
      <c r="J72">
        <f t="shared" si="5"/>
        <v>-4.3743071857296689</v>
      </c>
      <c r="K72">
        <f t="shared" si="6"/>
        <v>-9.124356711211302</v>
      </c>
      <c r="L72">
        <f t="shared" si="7"/>
        <v>0.27916666666666667</v>
      </c>
      <c r="M72">
        <f t="shared" si="8"/>
        <v>-4.6534738523963357</v>
      </c>
      <c r="N72">
        <f t="shared" si="9"/>
        <v>-9.4035233778779688</v>
      </c>
    </row>
    <row r="73" spans="1:14" x14ac:dyDescent="0.3">
      <c r="A73" s="1">
        <v>39417</v>
      </c>
      <c r="B73">
        <v>1467.969971</v>
      </c>
      <c r="C73">
        <v>6.73</v>
      </c>
      <c r="D73">
        <v>37.07</v>
      </c>
      <c r="E73">
        <v>35.599997999999999</v>
      </c>
      <c r="F73">
        <v>22.58</v>
      </c>
      <c r="G73" s="2">
        <v>3.07</v>
      </c>
      <c r="H73" s="2"/>
      <c r="I73" s="1">
        <v>39417</v>
      </c>
      <c r="J73">
        <f t="shared" si="5"/>
        <v>-0.79115856390057449</v>
      </c>
      <c r="K73">
        <f t="shared" si="6"/>
        <v>5.7819574232860615</v>
      </c>
      <c r="L73">
        <f t="shared" si="7"/>
        <v>0.2558333333333333</v>
      </c>
      <c r="M73">
        <f t="shared" si="8"/>
        <v>-1.0469918972339078</v>
      </c>
      <c r="N73">
        <f t="shared" si="9"/>
        <v>5.5261240899527282</v>
      </c>
    </row>
    <row r="74" spans="1:14" x14ac:dyDescent="0.3">
      <c r="A74" s="1">
        <v>39448</v>
      </c>
      <c r="B74">
        <v>1378.599976</v>
      </c>
      <c r="C74">
        <v>6.64</v>
      </c>
      <c r="D74">
        <v>35.360000999999997</v>
      </c>
      <c r="E74">
        <v>32.599997999999999</v>
      </c>
      <c r="F74">
        <v>20.549999</v>
      </c>
      <c r="G74" s="2">
        <v>2.82</v>
      </c>
      <c r="H74" s="2"/>
      <c r="I74" s="1">
        <v>39448</v>
      </c>
      <c r="J74">
        <f t="shared" si="5"/>
        <v>-6.2812000200583302</v>
      </c>
      <c r="K74">
        <f t="shared" si="6"/>
        <v>-8.803335465524107</v>
      </c>
      <c r="L74">
        <f t="shared" si="7"/>
        <v>0.23499999999999999</v>
      </c>
      <c r="M74">
        <f t="shared" si="8"/>
        <v>-6.5162000200583305</v>
      </c>
      <c r="N74">
        <f t="shared" si="9"/>
        <v>-9.0383354655241064</v>
      </c>
    </row>
    <row r="75" spans="1:14" x14ac:dyDescent="0.3">
      <c r="A75" s="1">
        <v>39479</v>
      </c>
      <c r="B75">
        <v>1330.4499510000001</v>
      </c>
      <c r="C75">
        <v>6.53</v>
      </c>
      <c r="D75">
        <v>33.139999000000003</v>
      </c>
      <c r="E75">
        <v>27.200001</v>
      </c>
      <c r="F75">
        <v>18.799999</v>
      </c>
      <c r="G75" s="2">
        <v>2.17</v>
      </c>
      <c r="H75" s="2"/>
      <c r="I75" s="1">
        <v>39479</v>
      </c>
      <c r="J75">
        <f t="shared" si="5"/>
        <v>-3.5551280017823617</v>
      </c>
      <c r="K75">
        <f t="shared" si="6"/>
        <v>-18.109521695630999</v>
      </c>
      <c r="L75">
        <f t="shared" si="7"/>
        <v>0.18083333333333332</v>
      </c>
      <c r="M75">
        <f t="shared" si="8"/>
        <v>-3.7359613351156948</v>
      </c>
      <c r="N75">
        <f t="shared" si="9"/>
        <v>-18.290355028964331</v>
      </c>
    </row>
    <row r="76" spans="1:14" x14ac:dyDescent="0.3">
      <c r="A76" s="1">
        <v>39508</v>
      </c>
      <c r="B76">
        <v>1326.410034</v>
      </c>
      <c r="C76">
        <v>5.72</v>
      </c>
      <c r="D76">
        <v>37.009998000000003</v>
      </c>
      <c r="E76">
        <v>28.379999000000002</v>
      </c>
      <c r="F76">
        <v>19.559999000000001</v>
      </c>
      <c r="G76" s="2">
        <v>1.28</v>
      </c>
      <c r="H76" s="2"/>
      <c r="I76" s="1">
        <v>39508</v>
      </c>
      <c r="J76">
        <f t="shared" si="5"/>
        <v>-0.30411238351915826</v>
      </c>
      <c r="K76">
        <f t="shared" si="6"/>
        <v>4.2467626429157388</v>
      </c>
      <c r="L76">
        <f t="shared" si="7"/>
        <v>0.10666666666666667</v>
      </c>
      <c r="M76">
        <f t="shared" si="8"/>
        <v>-0.41077905018582495</v>
      </c>
      <c r="N76">
        <f t="shared" si="9"/>
        <v>4.1400959762490723</v>
      </c>
    </row>
    <row r="77" spans="1:14" x14ac:dyDescent="0.3">
      <c r="A77" s="1">
        <v>39539</v>
      </c>
      <c r="B77">
        <v>1385.969971</v>
      </c>
      <c r="C77">
        <v>8.26</v>
      </c>
      <c r="D77">
        <v>32.700001</v>
      </c>
      <c r="E77">
        <v>28.52</v>
      </c>
      <c r="F77">
        <v>20.85</v>
      </c>
      <c r="G77" s="2">
        <v>1.31</v>
      </c>
      <c r="H77" s="2"/>
      <c r="I77" s="1">
        <v>39539</v>
      </c>
      <c r="J77">
        <f t="shared" si="5"/>
        <v>4.3924164380402049</v>
      </c>
      <c r="K77">
        <f t="shared" si="6"/>
        <v>0.4920959050280807</v>
      </c>
      <c r="L77">
        <f t="shared" si="7"/>
        <v>0.10916666666666668</v>
      </c>
      <c r="M77">
        <f t="shared" si="8"/>
        <v>4.283249771373538</v>
      </c>
      <c r="N77">
        <f t="shared" si="9"/>
        <v>0.38292923836141401</v>
      </c>
    </row>
    <row r="78" spans="1:14" x14ac:dyDescent="0.3">
      <c r="A78" s="1">
        <v>39569</v>
      </c>
      <c r="B78">
        <v>1399.619995</v>
      </c>
      <c r="C78">
        <v>6.8</v>
      </c>
      <c r="D78">
        <v>30.719999000000001</v>
      </c>
      <c r="E78">
        <v>28.32</v>
      </c>
      <c r="F78">
        <v>22.84</v>
      </c>
      <c r="G78" s="2">
        <v>1.76</v>
      </c>
      <c r="H78" s="2"/>
      <c r="I78" s="1">
        <v>39569</v>
      </c>
      <c r="J78">
        <f t="shared" si="5"/>
        <v>0.98005330461489082</v>
      </c>
      <c r="K78">
        <f t="shared" si="6"/>
        <v>-0.70373267205762036</v>
      </c>
      <c r="L78">
        <f t="shared" si="7"/>
        <v>0.14666666666666667</v>
      </c>
      <c r="M78">
        <f t="shared" si="8"/>
        <v>0.83338663794822421</v>
      </c>
      <c r="N78">
        <f t="shared" si="9"/>
        <v>-0.85039933872428697</v>
      </c>
    </row>
    <row r="79" spans="1:14" x14ac:dyDescent="0.3">
      <c r="A79" s="1">
        <v>39600</v>
      </c>
      <c r="B79">
        <v>1276.6899410000001</v>
      </c>
      <c r="C79">
        <v>4.8099999999999996</v>
      </c>
      <c r="D79">
        <v>26.690000999999999</v>
      </c>
      <c r="E79">
        <v>27.51</v>
      </c>
      <c r="F79">
        <v>21</v>
      </c>
      <c r="G79" s="2">
        <v>1.89</v>
      </c>
      <c r="H79" s="2"/>
      <c r="I79" s="1">
        <v>39600</v>
      </c>
      <c r="J79">
        <f t="shared" si="5"/>
        <v>-9.1930022727410918</v>
      </c>
      <c r="K79">
        <f t="shared" si="6"/>
        <v>-2.9018693889035818</v>
      </c>
      <c r="L79">
        <f t="shared" si="7"/>
        <v>0.1575</v>
      </c>
      <c r="M79">
        <f t="shared" si="8"/>
        <v>-9.3505022727410925</v>
      </c>
      <c r="N79">
        <f t="shared" si="9"/>
        <v>-3.059369388903582</v>
      </c>
    </row>
    <row r="80" spans="1:14" x14ac:dyDescent="0.3">
      <c r="A80" s="1">
        <v>39630</v>
      </c>
      <c r="B80">
        <v>1269.420044</v>
      </c>
      <c r="C80">
        <v>4.8</v>
      </c>
      <c r="D80">
        <v>28.290001</v>
      </c>
      <c r="E80">
        <v>25.719999000000001</v>
      </c>
      <c r="F80">
        <v>21.530000999999999</v>
      </c>
      <c r="G80" s="2">
        <v>1.66</v>
      </c>
      <c r="H80" s="2"/>
      <c r="I80" s="1">
        <v>39630</v>
      </c>
      <c r="J80">
        <f t="shared" si="5"/>
        <v>-0.57106070039311141</v>
      </c>
      <c r="K80">
        <f t="shared" si="6"/>
        <v>-6.7280714447314152</v>
      </c>
      <c r="L80">
        <f t="shared" si="7"/>
        <v>0.13833333333333334</v>
      </c>
      <c r="M80">
        <f t="shared" si="8"/>
        <v>-0.70939403372644472</v>
      </c>
      <c r="N80">
        <f t="shared" si="9"/>
        <v>-6.8664047780647488</v>
      </c>
    </row>
    <row r="81" spans="1:14" x14ac:dyDescent="0.3">
      <c r="A81" s="1">
        <v>39661</v>
      </c>
      <c r="B81">
        <v>1287.829956</v>
      </c>
      <c r="C81">
        <v>4.46</v>
      </c>
      <c r="D81">
        <v>28.1</v>
      </c>
      <c r="E81">
        <v>27.290001</v>
      </c>
      <c r="F81">
        <v>21.93</v>
      </c>
      <c r="G81" s="2">
        <v>1.75</v>
      </c>
      <c r="H81" s="2"/>
      <c r="I81" s="1">
        <v>39661</v>
      </c>
      <c r="J81">
        <f t="shared" si="5"/>
        <v>1.4398459324752091</v>
      </c>
      <c r="K81">
        <f t="shared" si="6"/>
        <v>5.9251510874536422</v>
      </c>
      <c r="L81">
        <f t="shared" si="7"/>
        <v>0.14583333333333334</v>
      </c>
      <c r="M81">
        <f t="shared" si="8"/>
        <v>1.2940125991418758</v>
      </c>
      <c r="N81">
        <f t="shared" si="9"/>
        <v>5.7793177541203091</v>
      </c>
    </row>
    <row r="82" spans="1:14" x14ac:dyDescent="0.3">
      <c r="A82" s="1">
        <v>39692</v>
      </c>
      <c r="B82">
        <v>1164.170044</v>
      </c>
      <c r="C82">
        <v>5.2</v>
      </c>
      <c r="D82">
        <v>25.5</v>
      </c>
      <c r="E82">
        <v>26.690000999999999</v>
      </c>
      <c r="F82">
        <v>20.309999000000001</v>
      </c>
      <c r="G82" s="2">
        <v>1.1499999999999999</v>
      </c>
      <c r="H82" s="2"/>
      <c r="I82" s="1">
        <v>39692</v>
      </c>
      <c r="J82">
        <f t="shared" si="5"/>
        <v>-10.095017267700319</v>
      </c>
      <c r="K82">
        <f t="shared" si="6"/>
        <v>-2.2231370480057322</v>
      </c>
      <c r="L82">
        <f t="shared" si="7"/>
        <v>9.5833333333333326E-2</v>
      </c>
      <c r="M82">
        <f t="shared" si="8"/>
        <v>-10.190850601033652</v>
      </c>
      <c r="N82">
        <f t="shared" si="9"/>
        <v>-2.3189703813390654</v>
      </c>
    </row>
    <row r="83" spans="1:14" x14ac:dyDescent="0.3">
      <c r="A83" s="1">
        <v>39722</v>
      </c>
      <c r="B83">
        <v>968.669983</v>
      </c>
      <c r="C83">
        <v>2.19</v>
      </c>
      <c r="D83">
        <v>19.510000000000002</v>
      </c>
      <c r="E83">
        <v>22.33</v>
      </c>
      <c r="F83">
        <v>18.290001</v>
      </c>
      <c r="G83" s="2">
        <v>0.69</v>
      </c>
      <c r="H83" s="2"/>
      <c r="I83" s="1">
        <v>39722</v>
      </c>
      <c r="J83">
        <f t="shared" si="5"/>
        <v>-18.383972446993873</v>
      </c>
      <c r="K83">
        <f t="shared" si="6"/>
        <v>-17.835793503158172</v>
      </c>
      <c r="L83">
        <f t="shared" si="7"/>
        <v>5.7499999999999996E-2</v>
      </c>
      <c r="M83">
        <f t="shared" si="8"/>
        <v>-18.441472446993874</v>
      </c>
      <c r="N83">
        <f t="shared" si="9"/>
        <v>-17.893293503158173</v>
      </c>
    </row>
    <row r="84" spans="1:14" x14ac:dyDescent="0.3">
      <c r="A84" s="1">
        <v>39753</v>
      </c>
      <c r="B84">
        <v>888.60998500000005</v>
      </c>
      <c r="C84">
        <v>2.69</v>
      </c>
      <c r="D84">
        <v>17.170000000000002</v>
      </c>
      <c r="E84">
        <v>20.219999000000001</v>
      </c>
      <c r="F84">
        <v>16.09</v>
      </c>
      <c r="G84" s="2">
        <v>0.19</v>
      </c>
      <c r="H84" s="2"/>
      <c r="I84" s="1">
        <v>39753</v>
      </c>
      <c r="J84">
        <f t="shared" si="5"/>
        <v>-8.6265551846961142</v>
      </c>
      <c r="K84">
        <f t="shared" si="6"/>
        <v>-9.9258901715726342</v>
      </c>
      <c r="L84">
        <f t="shared" si="7"/>
        <v>1.5833333333333335E-2</v>
      </c>
      <c r="M84">
        <f t="shared" si="8"/>
        <v>-8.6423885180294473</v>
      </c>
      <c r="N84">
        <f t="shared" si="9"/>
        <v>-9.9417235049059673</v>
      </c>
    </row>
    <row r="85" spans="1:14" x14ac:dyDescent="0.3">
      <c r="A85" s="1">
        <v>39783</v>
      </c>
      <c r="B85">
        <v>902.98999000000003</v>
      </c>
      <c r="C85">
        <v>2.29</v>
      </c>
      <c r="D85">
        <v>16.200001</v>
      </c>
      <c r="E85">
        <v>19.440000999999999</v>
      </c>
      <c r="F85">
        <v>17.73</v>
      </c>
      <c r="G85" s="2">
        <v>0.03</v>
      </c>
      <c r="H85" s="2"/>
      <c r="I85" s="1">
        <v>39783</v>
      </c>
      <c r="J85">
        <f t="shared" si="5"/>
        <v>1.6053040868597004</v>
      </c>
      <c r="K85">
        <f t="shared" si="6"/>
        <v>-3.9339313663719233</v>
      </c>
      <c r="L85">
        <f t="shared" si="7"/>
        <v>2.5000000000000001E-3</v>
      </c>
      <c r="M85">
        <f t="shared" si="8"/>
        <v>1.6028040868597004</v>
      </c>
      <c r="N85">
        <f t="shared" si="9"/>
        <v>-3.9364313663719233</v>
      </c>
    </row>
    <row r="86" spans="1:14" x14ac:dyDescent="0.3">
      <c r="A86" s="1">
        <v>39814</v>
      </c>
      <c r="B86">
        <v>823.09002699999996</v>
      </c>
      <c r="C86">
        <v>1.87</v>
      </c>
      <c r="D86">
        <v>12.13</v>
      </c>
      <c r="E86">
        <v>17.100000000000001</v>
      </c>
      <c r="F86">
        <v>16.829999999999998</v>
      </c>
      <c r="G86" s="2">
        <v>0.13</v>
      </c>
      <c r="H86" s="2"/>
      <c r="I86" s="1">
        <v>39814</v>
      </c>
      <c r="J86">
        <f t="shared" si="5"/>
        <v>-9.2645884568291414</v>
      </c>
      <c r="K86">
        <f t="shared" si="6"/>
        <v>-12.825438696400665</v>
      </c>
      <c r="L86">
        <f t="shared" si="7"/>
        <v>1.0833333333333334E-2</v>
      </c>
      <c r="M86">
        <f t="shared" si="8"/>
        <v>-9.2754217901624756</v>
      </c>
      <c r="N86">
        <f t="shared" si="9"/>
        <v>-12.836272029733999</v>
      </c>
    </row>
    <row r="87" spans="1:14" x14ac:dyDescent="0.3">
      <c r="A87" s="1">
        <v>39845</v>
      </c>
      <c r="B87">
        <v>729.57000700000003</v>
      </c>
      <c r="C87">
        <v>2</v>
      </c>
      <c r="D87">
        <v>8.51</v>
      </c>
      <c r="E87">
        <v>16.149999999999999</v>
      </c>
      <c r="F87">
        <v>15.54</v>
      </c>
      <c r="G87" s="2">
        <v>0.3</v>
      </c>
      <c r="H87" s="2"/>
      <c r="I87" s="1">
        <v>39845</v>
      </c>
      <c r="J87">
        <f t="shared" si="5"/>
        <v>-12.061025442755779</v>
      </c>
      <c r="K87">
        <f t="shared" si="6"/>
        <v>-5.7158413839948752</v>
      </c>
      <c r="L87">
        <f t="shared" si="7"/>
        <v>2.4999999999999998E-2</v>
      </c>
      <c r="M87">
        <f t="shared" si="8"/>
        <v>-12.08602544275578</v>
      </c>
      <c r="N87">
        <f t="shared" si="9"/>
        <v>-5.7408413839948755</v>
      </c>
    </row>
    <row r="88" spans="1:14" x14ac:dyDescent="0.3">
      <c r="A88" s="1">
        <v>39873</v>
      </c>
      <c r="B88">
        <v>793.59002699999996</v>
      </c>
      <c r="C88">
        <v>2.63</v>
      </c>
      <c r="D88">
        <v>10.11</v>
      </c>
      <c r="E88">
        <v>18.370000999999998</v>
      </c>
      <c r="F88">
        <v>18.07</v>
      </c>
      <c r="G88" s="2">
        <v>0.22</v>
      </c>
      <c r="H88" s="2"/>
      <c r="I88" s="1">
        <v>39873</v>
      </c>
      <c r="J88">
        <f t="shared" si="5"/>
        <v>8.4111660019049719</v>
      </c>
      <c r="K88">
        <f t="shared" si="6"/>
        <v>12.879890399494858</v>
      </c>
      <c r="L88">
        <f t="shared" si="7"/>
        <v>1.8333333333333333E-2</v>
      </c>
      <c r="M88">
        <f t="shared" si="8"/>
        <v>8.3928326685716392</v>
      </c>
      <c r="N88">
        <f t="shared" si="9"/>
        <v>12.861557066161525</v>
      </c>
    </row>
    <row r="89" spans="1:14" x14ac:dyDescent="0.3">
      <c r="A89" s="1">
        <v>39904</v>
      </c>
      <c r="B89">
        <v>872.73999000000003</v>
      </c>
      <c r="C89">
        <v>5.98</v>
      </c>
      <c r="D89">
        <v>12.65</v>
      </c>
      <c r="E89">
        <v>20.260000000000002</v>
      </c>
      <c r="F89">
        <v>19.34</v>
      </c>
      <c r="G89" s="2">
        <v>0.16</v>
      </c>
      <c r="H89" s="2"/>
      <c r="I89" s="1">
        <v>39904</v>
      </c>
      <c r="J89">
        <f t="shared" si="5"/>
        <v>9.5070687318962186</v>
      </c>
      <c r="K89">
        <f t="shared" si="6"/>
        <v>9.792954515692335</v>
      </c>
      <c r="L89">
        <f t="shared" si="7"/>
        <v>1.3333333333333334E-2</v>
      </c>
      <c r="M89">
        <f t="shared" si="8"/>
        <v>9.493735398562885</v>
      </c>
      <c r="N89">
        <f t="shared" si="9"/>
        <v>9.7796211823590014</v>
      </c>
    </row>
    <row r="90" spans="1:14" x14ac:dyDescent="0.3">
      <c r="A90" s="1">
        <v>39934</v>
      </c>
      <c r="B90">
        <v>923.26000999999997</v>
      </c>
      <c r="C90">
        <v>5.75</v>
      </c>
      <c r="D90">
        <v>13.48</v>
      </c>
      <c r="E90">
        <v>20.889999</v>
      </c>
      <c r="F90">
        <v>19.59</v>
      </c>
      <c r="G90" s="2">
        <v>0.18</v>
      </c>
      <c r="H90" s="2"/>
      <c r="I90" s="1">
        <v>39934</v>
      </c>
      <c r="J90">
        <f t="shared" si="5"/>
        <v>5.6273219381275155</v>
      </c>
      <c r="K90">
        <f t="shared" si="6"/>
        <v>3.0622028878141716</v>
      </c>
      <c r="L90">
        <f t="shared" si="7"/>
        <v>1.4999999999999999E-2</v>
      </c>
      <c r="M90">
        <f t="shared" si="8"/>
        <v>5.6123219381275158</v>
      </c>
      <c r="N90">
        <f t="shared" si="9"/>
        <v>3.0472028878141715</v>
      </c>
    </row>
    <row r="91" spans="1:14" x14ac:dyDescent="0.3">
      <c r="A91" s="1">
        <v>39965</v>
      </c>
      <c r="B91">
        <v>920.82000700000003</v>
      </c>
      <c r="C91">
        <v>6.07</v>
      </c>
      <c r="D91">
        <v>11.72</v>
      </c>
      <c r="E91">
        <v>23.77</v>
      </c>
      <c r="F91">
        <v>21.42</v>
      </c>
      <c r="G91" s="2">
        <v>0.18</v>
      </c>
      <c r="H91" s="2"/>
      <c r="I91" s="1">
        <v>39965</v>
      </c>
      <c r="J91">
        <f t="shared" si="5"/>
        <v>-0.26463107906850819</v>
      </c>
      <c r="K91">
        <f t="shared" si="6"/>
        <v>12.915375367342341</v>
      </c>
      <c r="L91">
        <f t="shared" si="7"/>
        <v>1.4999999999999999E-2</v>
      </c>
      <c r="M91">
        <f t="shared" si="8"/>
        <v>-0.2796310790685082</v>
      </c>
      <c r="N91">
        <f t="shared" si="9"/>
        <v>12.90037536734234</v>
      </c>
    </row>
    <row r="92" spans="1:14" x14ac:dyDescent="0.3">
      <c r="A92" s="1">
        <v>39995</v>
      </c>
      <c r="B92">
        <v>990.21997099999999</v>
      </c>
      <c r="C92">
        <v>8</v>
      </c>
      <c r="D92">
        <v>13.4</v>
      </c>
      <c r="E92">
        <v>23.52</v>
      </c>
      <c r="F92">
        <v>22.129999000000002</v>
      </c>
      <c r="G92" s="2">
        <v>0.18</v>
      </c>
      <c r="H92" s="2"/>
      <c r="I92" s="1">
        <v>39995</v>
      </c>
      <c r="J92">
        <f t="shared" si="5"/>
        <v>7.2662526359756976</v>
      </c>
      <c r="K92">
        <f t="shared" si="6"/>
        <v>-1.0573158341676336</v>
      </c>
      <c r="L92">
        <f t="shared" si="7"/>
        <v>1.4999999999999999E-2</v>
      </c>
      <c r="M92">
        <f t="shared" si="8"/>
        <v>7.2512526359756979</v>
      </c>
      <c r="N92">
        <f t="shared" si="9"/>
        <v>-1.0723158341676335</v>
      </c>
    </row>
    <row r="93" spans="1:14" x14ac:dyDescent="0.3">
      <c r="A93" s="1">
        <v>40026</v>
      </c>
      <c r="B93">
        <v>1019.52002</v>
      </c>
      <c r="C93">
        <v>7.6</v>
      </c>
      <c r="D93">
        <v>13.9</v>
      </c>
      <c r="E93">
        <v>24.65</v>
      </c>
      <c r="F93">
        <v>21.879999000000002</v>
      </c>
      <c r="G93" s="2">
        <v>0.17</v>
      </c>
      <c r="H93" s="2"/>
      <c r="I93" s="1">
        <v>40026</v>
      </c>
      <c r="J93">
        <f t="shared" si="5"/>
        <v>2.9160115521968129</v>
      </c>
      <c r="K93">
        <f t="shared" si="6"/>
        <v>4.6925777458272897</v>
      </c>
      <c r="L93">
        <f t="shared" si="7"/>
        <v>1.4166666666666668E-2</v>
      </c>
      <c r="M93">
        <f t="shared" si="8"/>
        <v>2.9018448855301462</v>
      </c>
      <c r="N93">
        <f t="shared" si="9"/>
        <v>4.6784110791606226</v>
      </c>
    </row>
    <row r="94" spans="1:14" x14ac:dyDescent="0.3">
      <c r="A94" s="1">
        <v>40057</v>
      </c>
      <c r="B94">
        <v>1054.910034</v>
      </c>
      <c r="C94">
        <v>7.21</v>
      </c>
      <c r="D94">
        <v>16.420000000000002</v>
      </c>
      <c r="E94">
        <v>25.719999000000001</v>
      </c>
      <c r="F94">
        <v>20.84</v>
      </c>
      <c r="G94" s="2">
        <v>0.12</v>
      </c>
      <c r="H94" s="2"/>
      <c r="I94" s="1">
        <v>40057</v>
      </c>
      <c r="J94">
        <f t="shared" si="5"/>
        <v>3.4123539545889252</v>
      </c>
      <c r="K94">
        <f t="shared" si="6"/>
        <v>4.2491960000469957</v>
      </c>
      <c r="L94">
        <f t="shared" si="7"/>
        <v>0.01</v>
      </c>
      <c r="M94">
        <f t="shared" si="8"/>
        <v>3.4023539545889254</v>
      </c>
      <c r="N94">
        <f t="shared" si="9"/>
        <v>4.2391960000469959</v>
      </c>
    </row>
    <row r="95" spans="1:14" x14ac:dyDescent="0.3">
      <c r="A95" s="1">
        <v>40087</v>
      </c>
      <c r="B95">
        <v>1036.1800539999999</v>
      </c>
      <c r="C95">
        <v>7</v>
      </c>
      <c r="D95">
        <v>14.26</v>
      </c>
      <c r="E95">
        <v>27.73</v>
      </c>
      <c r="F95">
        <v>21.1</v>
      </c>
      <c r="G95" s="2">
        <v>7.0000000000000007E-2</v>
      </c>
      <c r="H95" s="2"/>
      <c r="I95" s="1">
        <v>40087</v>
      </c>
      <c r="J95">
        <f t="shared" si="5"/>
        <v>-1.7914561428867763</v>
      </c>
      <c r="K95">
        <f t="shared" si="6"/>
        <v>7.5245999138517554</v>
      </c>
      <c r="L95">
        <f t="shared" si="7"/>
        <v>5.8333333333333336E-3</v>
      </c>
      <c r="M95">
        <f t="shared" si="8"/>
        <v>-1.7972894762201097</v>
      </c>
      <c r="N95">
        <f t="shared" si="9"/>
        <v>7.5187665805184221</v>
      </c>
    </row>
    <row r="96" spans="1:14" x14ac:dyDescent="0.3">
      <c r="A96" s="1">
        <v>40118</v>
      </c>
      <c r="B96">
        <v>1098.8900149999999</v>
      </c>
      <c r="C96">
        <v>8.89</v>
      </c>
      <c r="D96">
        <v>16.02</v>
      </c>
      <c r="E96">
        <v>29.41</v>
      </c>
      <c r="F96">
        <v>22.08</v>
      </c>
      <c r="G96" s="2">
        <v>0.05</v>
      </c>
      <c r="H96" s="2"/>
      <c r="I96" s="1">
        <v>40118</v>
      </c>
      <c r="J96">
        <f t="shared" si="5"/>
        <v>5.8759667036785768</v>
      </c>
      <c r="K96">
        <f t="shared" si="6"/>
        <v>5.8819892938216949</v>
      </c>
      <c r="L96">
        <f t="shared" si="7"/>
        <v>4.1666666666666666E-3</v>
      </c>
      <c r="M96">
        <f t="shared" si="8"/>
        <v>5.8718000370119103</v>
      </c>
      <c r="N96">
        <f t="shared" si="9"/>
        <v>5.8778226271550285</v>
      </c>
    </row>
    <row r="97" spans="1:14" x14ac:dyDescent="0.3">
      <c r="A97" s="1">
        <v>40148</v>
      </c>
      <c r="B97">
        <v>1116.5600589999999</v>
      </c>
      <c r="C97">
        <v>10</v>
      </c>
      <c r="D97">
        <v>15.13</v>
      </c>
      <c r="E97">
        <v>30.48</v>
      </c>
      <c r="F97">
        <v>24.530000999999999</v>
      </c>
      <c r="G97" s="2">
        <v>0.05</v>
      </c>
      <c r="H97" s="2"/>
      <c r="I97" s="1">
        <v>40148</v>
      </c>
      <c r="J97">
        <f t="shared" si="5"/>
        <v>1.5951989988744963</v>
      </c>
      <c r="K97">
        <f t="shared" si="6"/>
        <v>3.5735978252541845</v>
      </c>
      <c r="L97">
        <f t="shared" si="7"/>
        <v>4.1666666666666666E-3</v>
      </c>
      <c r="M97">
        <f t="shared" si="8"/>
        <v>1.5910323322078297</v>
      </c>
      <c r="N97">
        <f t="shared" si="9"/>
        <v>3.5694311585875176</v>
      </c>
    </row>
    <row r="98" spans="1:14" x14ac:dyDescent="0.3">
      <c r="A98" s="1">
        <v>40179</v>
      </c>
      <c r="B98">
        <v>1073.8900149999999</v>
      </c>
      <c r="C98">
        <v>10.84</v>
      </c>
      <c r="D98">
        <v>16.079999999999998</v>
      </c>
      <c r="E98">
        <v>28.18</v>
      </c>
      <c r="F98">
        <v>23.059999000000001</v>
      </c>
      <c r="G98" s="2">
        <v>0.06</v>
      </c>
      <c r="H98" s="2"/>
      <c r="I98" s="1">
        <v>40179</v>
      </c>
      <c r="J98">
        <f t="shared" si="5"/>
        <v>-3.8964999106519813</v>
      </c>
      <c r="K98">
        <f t="shared" si="6"/>
        <v>-7.8458224347911418</v>
      </c>
      <c r="L98">
        <f t="shared" si="7"/>
        <v>5.0000000000000001E-3</v>
      </c>
      <c r="M98">
        <f t="shared" si="8"/>
        <v>-3.9014999106519812</v>
      </c>
      <c r="N98">
        <f t="shared" si="9"/>
        <v>-7.8508224347911417</v>
      </c>
    </row>
    <row r="99" spans="1:14" x14ac:dyDescent="0.3">
      <c r="A99" s="1">
        <v>40210</v>
      </c>
      <c r="B99">
        <v>1105.3599850000001</v>
      </c>
      <c r="C99">
        <v>11.74</v>
      </c>
      <c r="D99">
        <v>16.059999000000001</v>
      </c>
      <c r="E99">
        <v>28.67</v>
      </c>
      <c r="F99">
        <v>24.65</v>
      </c>
      <c r="G99" s="2">
        <v>0.11</v>
      </c>
      <c r="H99" s="2"/>
      <c r="I99" s="1">
        <v>40210</v>
      </c>
      <c r="J99">
        <f t="shared" si="5"/>
        <v>2.8883476243438428</v>
      </c>
      <c r="K99">
        <f t="shared" si="6"/>
        <v>1.72387734247443</v>
      </c>
      <c r="L99">
        <f t="shared" si="7"/>
        <v>9.1666666666666667E-3</v>
      </c>
      <c r="M99">
        <f t="shared" si="8"/>
        <v>2.8791809576771761</v>
      </c>
      <c r="N99">
        <f t="shared" si="9"/>
        <v>1.7147106758077633</v>
      </c>
    </row>
    <row r="100" spans="1:14" x14ac:dyDescent="0.3">
      <c r="A100" s="1">
        <v>40238</v>
      </c>
      <c r="B100">
        <v>1171.2299800000001</v>
      </c>
      <c r="C100">
        <v>12.57</v>
      </c>
      <c r="D100">
        <v>18.200001</v>
      </c>
      <c r="E100">
        <v>29.290001</v>
      </c>
      <c r="F100">
        <v>25.709999</v>
      </c>
      <c r="G100" s="2">
        <v>0.15</v>
      </c>
      <c r="H100" s="2"/>
      <c r="I100" s="1">
        <v>40238</v>
      </c>
      <c r="J100">
        <f t="shared" si="5"/>
        <v>5.7883401378853412</v>
      </c>
      <c r="K100">
        <f t="shared" si="6"/>
        <v>2.1394915085708082</v>
      </c>
      <c r="L100">
        <f t="shared" si="7"/>
        <v>1.2499999999999999E-2</v>
      </c>
      <c r="M100">
        <f t="shared" si="8"/>
        <v>5.775840137885341</v>
      </c>
      <c r="N100">
        <f t="shared" si="9"/>
        <v>2.126991508570808</v>
      </c>
    </row>
    <row r="101" spans="1:14" x14ac:dyDescent="0.3">
      <c r="A101" s="1">
        <v>40269</v>
      </c>
      <c r="B101">
        <v>1188.579956</v>
      </c>
      <c r="C101">
        <v>13.02</v>
      </c>
      <c r="D101">
        <v>18.860001</v>
      </c>
      <c r="E101">
        <v>30.540001</v>
      </c>
      <c r="F101">
        <v>25.870000999999998</v>
      </c>
      <c r="G101" s="2">
        <v>0.16</v>
      </c>
      <c r="H101" s="2"/>
      <c r="I101" s="1">
        <v>40269</v>
      </c>
      <c r="J101">
        <f t="shared" si="5"/>
        <v>1.4704818696407111</v>
      </c>
      <c r="K101">
        <f t="shared" si="6"/>
        <v>4.179113755344142</v>
      </c>
      <c r="L101">
        <f t="shared" si="7"/>
        <v>1.3333333333333334E-2</v>
      </c>
      <c r="M101">
        <f t="shared" si="8"/>
        <v>1.4571485363073777</v>
      </c>
      <c r="N101">
        <f t="shared" si="9"/>
        <v>4.1657804220108083</v>
      </c>
    </row>
    <row r="102" spans="1:14" x14ac:dyDescent="0.3">
      <c r="A102" s="1">
        <v>40299</v>
      </c>
      <c r="B102">
        <v>1087.3000489999999</v>
      </c>
      <c r="C102">
        <v>11.73</v>
      </c>
      <c r="D102">
        <v>16.350000000000001</v>
      </c>
      <c r="E102">
        <v>25.799999</v>
      </c>
      <c r="F102">
        <v>22.57</v>
      </c>
      <c r="G102" s="2">
        <v>0.16</v>
      </c>
      <c r="H102" s="2"/>
      <c r="I102" s="1">
        <v>40299</v>
      </c>
      <c r="J102">
        <f t="shared" si="5"/>
        <v>-8.9061676183973155</v>
      </c>
      <c r="K102">
        <f t="shared" si="6"/>
        <v>-16.866287936654722</v>
      </c>
      <c r="L102">
        <f t="shared" si="7"/>
        <v>1.3333333333333334E-2</v>
      </c>
      <c r="M102">
        <f t="shared" si="8"/>
        <v>-8.9195009517306492</v>
      </c>
      <c r="N102">
        <f t="shared" si="9"/>
        <v>-16.879621269988053</v>
      </c>
    </row>
    <row r="103" spans="1:14" x14ac:dyDescent="0.3">
      <c r="A103" s="1">
        <v>40330</v>
      </c>
      <c r="B103">
        <v>1031.099976</v>
      </c>
      <c r="C103">
        <v>10.08</v>
      </c>
      <c r="D103">
        <v>14.42</v>
      </c>
      <c r="E103">
        <v>23.01</v>
      </c>
      <c r="F103">
        <v>21.459999</v>
      </c>
      <c r="G103" s="2">
        <v>0.12</v>
      </c>
      <c r="H103" s="2"/>
      <c r="I103" s="1">
        <v>40330</v>
      </c>
      <c r="J103">
        <f t="shared" si="5"/>
        <v>-5.3071433821677196</v>
      </c>
      <c r="K103">
        <f t="shared" si="6"/>
        <v>-11.444554912060651</v>
      </c>
      <c r="L103">
        <f t="shared" si="7"/>
        <v>0.01</v>
      </c>
      <c r="M103">
        <f t="shared" si="8"/>
        <v>-5.3171433821677194</v>
      </c>
      <c r="N103">
        <f t="shared" si="9"/>
        <v>-11.454554912060651</v>
      </c>
    </row>
    <row r="104" spans="1:14" x14ac:dyDescent="0.3">
      <c r="A104" s="1">
        <v>40360</v>
      </c>
      <c r="B104">
        <v>1107.530029</v>
      </c>
      <c r="C104">
        <v>12.77</v>
      </c>
      <c r="D104">
        <v>16.120000999999998</v>
      </c>
      <c r="E104">
        <v>25.809999000000001</v>
      </c>
      <c r="F104">
        <v>23.639999</v>
      </c>
      <c r="G104" s="2">
        <v>0.16</v>
      </c>
      <c r="H104" s="2"/>
      <c r="I104" s="1">
        <v>40360</v>
      </c>
      <c r="J104">
        <f t="shared" si="5"/>
        <v>7.1506166525141035</v>
      </c>
      <c r="K104">
        <f t="shared" si="6"/>
        <v>11.483307093857469</v>
      </c>
      <c r="L104">
        <f t="shared" si="7"/>
        <v>1.3333333333333334E-2</v>
      </c>
      <c r="M104">
        <f t="shared" si="8"/>
        <v>7.1372833191807699</v>
      </c>
      <c r="N104">
        <f t="shared" si="9"/>
        <v>11.469973760524136</v>
      </c>
    </row>
    <row r="105" spans="1:14" x14ac:dyDescent="0.3">
      <c r="A105" s="1">
        <v>40391</v>
      </c>
      <c r="B105">
        <v>1049.719971</v>
      </c>
      <c r="C105">
        <v>11.29</v>
      </c>
      <c r="D105">
        <v>14.48</v>
      </c>
      <c r="E105">
        <v>23.469999000000001</v>
      </c>
      <c r="F105">
        <v>21.84</v>
      </c>
      <c r="G105" s="2">
        <v>0.16</v>
      </c>
      <c r="H105" s="2"/>
      <c r="I105" s="1">
        <v>40391</v>
      </c>
      <c r="J105">
        <f t="shared" si="5"/>
        <v>-5.3608902476316267</v>
      </c>
      <c r="K105">
        <f t="shared" si="6"/>
        <v>-9.5039007730502068</v>
      </c>
      <c r="L105">
        <f t="shared" si="7"/>
        <v>1.3333333333333334E-2</v>
      </c>
      <c r="M105">
        <f t="shared" si="8"/>
        <v>-5.3742235809649603</v>
      </c>
      <c r="N105">
        <f t="shared" si="9"/>
        <v>-9.5172341063835404</v>
      </c>
    </row>
    <row r="106" spans="1:14" x14ac:dyDescent="0.3">
      <c r="A106" s="1">
        <v>40422</v>
      </c>
      <c r="B106">
        <v>1143.48999</v>
      </c>
      <c r="C106">
        <v>12.24</v>
      </c>
      <c r="D106">
        <v>16.25</v>
      </c>
      <c r="E106">
        <v>24.49</v>
      </c>
      <c r="F106">
        <v>26.85</v>
      </c>
      <c r="G106" s="2">
        <v>0.15</v>
      </c>
      <c r="H106" s="2"/>
      <c r="I106" s="1">
        <v>40422</v>
      </c>
      <c r="J106">
        <f t="shared" si="5"/>
        <v>8.5561546301938467</v>
      </c>
      <c r="K106">
        <f t="shared" si="6"/>
        <v>4.2541903708729105</v>
      </c>
      <c r="L106">
        <f t="shared" si="7"/>
        <v>1.2499999999999999E-2</v>
      </c>
      <c r="M106">
        <f t="shared" si="8"/>
        <v>8.5436546301938474</v>
      </c>
      <c r="N106">
        <f t="shared" si="9"/>
        <v>4.2416903708729103</v>
      </c>
    </row>
    <row r="107" spans="1:14" x14ac:dyDescent="0.3">
      <c r="A107" s="1">
        <v>40452</v>
      </c>
      <c r="B107">
        <v>1185.709961</v>
      </c>
      <c r="C107">
        <v>14.13</v>
      </c>
      <c r="D107">
        <v>16.02</v>
      </c>
      <c r="E107">
        <v>26.67</v>
      </c>
      <c r="F107">
        <v>29.379999000000002</v>
      </c>
      <c r="G107" s="2">
        <v>0.13</v>
      </c>
      <c r="H107" s="2"/>
      <c r="I107" s="1">
        <v>40452</v>
      </c>
      <c r="J107">
        <f t="shared" si="5"/>
        <v>3.6256737774778856</v>
      </c>
      <c r="K107">
        <f t="shared" si="6"/>
        <v>8.5274467229846564</v>
      </c>
      <c r="L107">
        <f t="shared" si="7"/>
        <v>1.0833333333333334E-2</v>
      </c>
      <c r="M107">
        <f t="shared" si="8"/>
        <v>3.6148404441445523</v>
      </c>
      <c r="N107">
        <f t="shared" si="9"/>
        <v>8.5166133896513223</v>
      </c>
    </row>
    <row r="108" spans="1:14" x14ac:dyDescent="0.3">
      <c r="A108" s="1">
        <v>40483</v>
      </c>
      <c r="B108">
        <v>1186.599976</v>
      </c>
      <c r="C108">
        <v>15.94</v>
      </c>
      <c r="D108">
        <v>15.83</v>
      </c>
      <c r="E108">
        <v>25.26</v>
      </c>
      <c r="F108">
        <v>27.049999</v>
      </c>
      <c r="G108" s="2">
        <v>0.14000000000000001</v>
      </c>
      <c r="H108" s="2"/>
      <c r="I108" s="1">
        <v>40483</v>
      </c>
      <c r="J108">
        <f t="shared" si="5"/>
        <v>7.5033622536047756E-2</v>
      </c>
      <c r="K108">
        <f t="shared" si="6"/>
        <v>-5.4317221271577818</v>
      </c>
      <c r="L108">
        <f t="shared" si="7"/>
        <v>1.1666666666666667E-2</v>
      </c>
      <c r="M108">
        <f t="shared" si="8"/>
        <v>6.3366955869381084E-2</v>
      </c>
      <c r="N108">
        <f t="shared" si="9"/>
        <v>-5.4433887938244485</v>
      </c>
    </row>
    <row r="109" spans="1:14" x14ac:dyDescent="0.3">
      <c r="A109" s="1">
        <v>40513</v>
      </c>
      <c r="B109">
        <v>1257.619995</v>
      </c>
      <c r="C109">
        <v>16.790001</v>
      </c>
      <c r="D109">
        <v>18.290001</v>
      </c>
      <c r="E109">
        <v>27.91</v>
      </c>
      <c r="F109">
        <v>31.299999</v>
      </c>
      <c r="G109" s="2">
        <v>0.14000000000000001</v>
      </c>
      <c r="H109" s="2"/>
      <c r="I109" s="1">
        <v>40513</v>
      </c>
      <c r="J109">
        <f t="shared" si="5"/>
        <v>5.8128987281922964</v>
      </c>
      <c r="K109">
        <f t="shared" si="6"/>
        <v>9.9762930625885637</v>
      </c>
      <c r="L109">
        <f t="shared" si="7"/>
        <v>1.1666666666666667E-2</v>
      </c>
      <c r="M109">
        <f t="shared" si="8"/>
        <v>5.8012320615256296</v>
      </c>
      <c r="N109">
        <f t="shared" si="9"/>
        <v>9.964626395921897</v>
      </c>
    </row>
    <row r="110" spans="1:14" x14ac:dyDescent="0.3">
      <c r="A110" s="1">
        <v>40544</v>
      </c>
      <c r="B110">
        <v>1289.1400149999999</v>
      </c>
      <c r="C110">
        <v>15.95</v>
      </c>
      <c r="D110">
        <v>20.139999</v>
      </c>
      <c r="E110">
        <v>27.73</v>
      </c>
      <c r="F110">
        <v>32.029998999999997</v>
      </c>
      <c r="G110" s="2">
        <v>0.15</v>
      </c>
      <c r="H110" s="2"/>
      <c r="I110" s="1">
        <v>40544</v>
      </c>
      <c r="J110">
        <f t="shared" si="5"/>
        <v>2.4754299123067982</v>
      </c>
      <c r="K110">
        <f t="shared" si="6"/>
        <v>-0.6470187920544076</v>
      </c>
      <c r="L110">
        <f t="shared" si="7"/>
        <v>1.2499999999999999E-2</v>
      </c>
      <c r="M110">
        <f t="shared" si="8"/>
        <v>2.462929912306798</v>
      </c>
      <c r="N110">
        <f t="shared" si="9"/>
        <v>-0.65951879205440755</v>
      </c>
    </row>
    <row r="111" spans="1:14" x14ac:dyDescent="0.3">
      <c r="A111" s="1">
        <v>40575</v>
      </c>
      <c r="B111">
        <v>1328.6400149999999</v>
      </c>
      <c r="C111">
        <v>15.05</v>
      </c>
      <c r="D111">
        <v>20.92</v>
      </c>
      <c r="E111">
        <v>26.58</v>
      </c>
      <c r="F111">
        <v>32.900002000000001</v>
      </c>
      <c r="G111" s="2">
        <v>0.13</v>
      </c>
      <c r="H111" s="2"/>
      <c r="I111" s="1">
        <v>40575</v>
      </c>
      <c r="J111">
        <f t="shared" si="5"/>
        <v>3.0180532943421579</v>
      </c>
      <c r="K111">
        <f t="shared" si="6"/>
        <v>-4.2355806342587528</v>
      </c>
      <c r="L111">
        <f t="shared" si="7"/>
        <v>1.0833333333333334E-2</v>
      </c>
      <c r="M111">
        <f t="shared" si="8"/>
        <v>3.0072199610088246</v>
      </c>
      <c r="N111">
        <f t="shared" si="9"/>
        <v>-4.246413967592086</v>
      </c>
    </row>
    <row r="112" spans="1:14" x14ac:dyDescent="0.3">
      <c r="A112" s="1">
        <v>40603</v>
      </c>
      <c r="B112">
        <v>1329.4799800000001</v>
      </c>
      <c r="C112">
        <v>14.91</v>
      </c>
      <c r="D112">
        <v>20.049999</v>
      </c>
      <c r="E112">
        <v>25.389999</v>
      </c>
      <c r="F112">
        <v>33.43</v>
      </c>
      <c r="G112" s="2">
        <v>0.1</v>
      </c>
      <c r="H112" s="2"/>
      <c r="I112" s="1">
        <v>40603</v>
      </c>
      <c r="J112">
        <f t="shared" si="5"/>
        <v>6.3199933000667008E-2</v>
      </c>
      <c r="K112">
        <f t="shared" si="6"/>
        <v>-4.5803696954097761</v>
      </c>
      <c r="L112">
        <f t="shared" si="7"/>
        <v>8.3333333333333332E-3</v>
      </c>
      <c r="M112">
        <f t="shared" si="8"/>
        <v>5.4866599667333676E-2</v>
      </c>
      <c r="N112">
        <f t="shared" si="9"/>
        <v>-4.5887030287431099</v>
      </c>
    </row>
    <row r="113" spans="1:14" x14ac:dyDescent="0.3">
      <c r="A113" s="1">
        <v>40634</v>
      </c>
      <c r="B113">
        <v>1365.209961</v>
      </c>
      <c r="C113">
        <v>15.47</v>
      </c>
      <c r="D113">
        <v>20.450001</v>
      </c>
      <c r="E113">
        <v>25.92</v>
      </c>
      <c r="F113">
        <v>35.959999000000003</v>
      </c>
      <c r="G113" s="2">
        <v>0.06</v>
      </c>
      <c r="H113" s="2"/>
      <c r="I113" s="1">
        <v>40634</v>
      </c>
      <c r="J113">
        <f t="shared" si="5"/>
        <v>2.6520361095660308</v>
      </c>
      <c r="K113">
        <f t="shared" si="6"/>
        <v>2.0659515153072592</v>
      </c>
      <c r="L113">
        <f t="shared" si="7"/>
        <v>5.0000000000000001E-3</v>
      </c>
      <c r="M113">
        <f t="shared" si="8"/>
        <v>2.6470361095660309</v>
      </c>
      <c r="N113">
        <f t="shared" si="9"/>
        <v>2.0609515153072593</v>
      </c>
    </row>
    <row r="114" spans="1:14" x14ac:dyDescent="0.3">
      <c r="A114" s="1">
        <v>40664</v>
      </c>
      <c r="B114">
        <v>1345.1999510000001</v>
      </c>
      <c r="C114">
        <v>14.92</v>
      </c>
      <c r="D114">
        <v>19.639999</v>
      </c>
      <c r="E114">
        <v>25.01</v>
      </c>
      <c r="F114">
        <v>34.220001000000003</v>
      </c>
      <c r="G114" s="2">
        <v>0.04</v>
      </c>
      <c r="H114" s="2"/>
      <c r="I114" s="1">
        <v>40664</v>
      </c>
      <c r="J114">
        <f t="shared" si="5"/>
        <v>-1.4765569932462721</v>
      </c>
      <c r="K114">
        <f t="shared" si="6"/>
        <v>-3.573912659454622</v>
      </c>
      <c r="L114">
        <f t="shared" si="7"/>
        <v>3.3333333333333335E-3</v>
      </c>
      <c r="M114">
        <f t="shared" si="8"/>
        <v>-1.4798903265796055</v>
      </c>
      <c r="N114">
        <f t="shared" si="9"/>
        <v>-3.5772459927879554</v>
      </c>
    </row>
    <row r="115" spans="1:14" x14ac:dyDescent="0.3">
      <c r="A115" s="1">
        <v>40695</v>
      </c>
      <c r="B115">
        <v>1320.6400149999999</v>
      </c>
      <c r="C115">
        <v>13.79</v>
      </c>
      <c r="D115">
        <v>18.860001</v>
      </c>
      <c r="E115">
        <v>26</v>
      </c>
      <c r="F115">
        <v>32.909999999999997</v>
      </c>
      <c r="G115" s="2">
        <v>0.04</v>
      </c>
      <c r="H115" s="2"/>
      <c r="I115" s="1">
        <v>40695</v>
      </c>
      <c r="J115">
        <f t="shared" si="5"/>
        <v>-1.8426185517957314</v>
      </c>
      <c r="K115">
        <f t="shared" si="6"/>
        <v>3.8820793131954363</v>
      </c>
      <c r="L115">
        <f t="shared" si="7"/>
        <v>3.3333333333333335E-3</v>
      </c>
      <c r="M115">
        <f t="shared" si="8"/>
        <v>-1.8459518851290648</v>
      </c>
      <c r="N115">
        <f t="shared" si="9"/>
        <v>3.8787459798621029</v>
      </c>
    </row>
    <row r="116" spans="1:14" x14ac:dyDescent="0.3">
      <c r="A116" s="1">
        <v>40725</v>
      </c>
      <c r="B116">
        <v>1292.589966</v>
      </c>
      <c r="C116">
        <v>12.21</v>
      </c>
      <c r="D116">
        <v>17.91</v>
      </c>
      <c r="E116">
        <v>27.4</v>
      </c>
      <c r="F116">
        <v>30.58</v>
      </c>
      <c r="G116" s="2">
        <v>0.04</v>
      </c>
      <c r="H116" s="2"/>
      <c r="I116" s="1">
        <v>40725</v>
      </c>
      <c r="J116">
        <f t="shared" si="5"/>
        <v>-2.1468547772605344</v>
      </c>
      <c r="K116">
        <f t="shared" si="6"/>
        <v>5.2446475372542523</v>
      </c>
      <c r="L116">
        <f t="shared" si="7"/>
        <v>3.3333333333333335E-3</v>
      </c>
      <c r="M116">
        <f t="shared" si="8"/>
        <v>-2.1501881105938678</v>
      </c>
      <c r="N116">
        <f t="shared" si="9"/>
        <v>5.2413142039209193</v>
      </c>
    </row>
    <row r="117" spans="1:14" x14ac:dyDescent="0.3">
      <c r="A117" s="1">
        <v>40756</v>
      </c>
      <c r="B117">
        <v>1219.119995</v>
      </c>
      <c r="C117">
        <v>11.12</v>
      </c>
      <c r="D117">
        <v>16.309999000000001</v>
      </c>
      <c r="E117">
        <v>26.6</v>
      </c>
      <c r="F117">
        <v>28.07</v>
      </c>
      <c r="G117" s="2">
        <v>0.02</v>
      </c>
      <c r="H117" s="2"/>
      <c r="I117" s="1">
        <v>40756</v>
      </c>
      <c r="J117">
        <f t="shared" si="5"/>
        <v>-5.8518648269454649</v>
      </c>
      <c r="K117">
        <f t="shared" si="6"/>
        <v>-2.9631797606371002</v>
      </c>
      <c r="L117">
        <f t="shared" si="7"/>
        <v>1.6666666666666668E-3</v>
      </c>
      <c r="M117">
        <f t="shared" si="8"/>
        <v>-5.8535314936121319</v>
      </c>
      <c r="N117">
        <f t="shared" si="9"/>
        <v>-2.9648464273037667</v>
      </c>
    </row>
    <row r="118" spans="1:14" x14ac:dyDescent="0.3">
      <c r="A118" s="1">
        <v>40787</v>
      </c>
      <c r="B118">
        <v>1131.209961</v>
      </c>
      <c r="C118">
        <v>9.67</v>
      </c>
      <c r="D118">
        <v>15.22</v>
      </c>
      <c r="E118">
        <v>24.889999</v>
      </c>
      <c r="F118">
        <v>28.74</v>
      </c>
      <c r="G118" s="2">
        <v>0.01</v>
      </c>
      <c r="H118" s="2"/>
      <c r="I118" s="1">
        <v>40787</v>
      </c>
      <c r="J118">
        <f t="shared" si="5"/>
        <v>-7.4841461083678587</v>
      </c>
      <c r="K118">
        <f t="shared" si="6"/>
        <v>-6.6445139584931452</v>
      </c>
      <c r="L118">
        <f t="shared" si="7"/>
        <v>8.3333333333333339E-4</v>
      </c>
      <c r="M118">
        <f t="shared" si="8"/>
        <v>-7.4849794417011921</v>
      </c>
      <c r="N118">
        <f t="shared" si="9"/>
        <v>-6.6453472918264787</v>
      </c>
    </row>
    <row r="119" spans="1:14" x14ac:dyDescent="0.3">
      <c r="A119" s="1">
        <v>40817</v>
      </c>
      <c r="B119">
        <v>1251</v>
      </c>
      <c r="C119">
        <v>11.68</v>
      </c>
      <c r="D119">
        <v>16.709999</v>
      </c>
      <c r="E119">
        <v>26.629999000000002</v>
      </c>
      <c r="F119">
        <v>32.770000000000003</v>
      </c>
      <c r="G119" s="2">
        <v>0.02</v>
      </c>
      <c r="H119" s="2"/>
      <c r="I119" s="1">
        <v>40817</v>
      </c>
      <c r="J119">
        <f t="shared" si="5"/>
        <v>10.06554096703033</v>
      </c>
      <c r="K119">
        <f t="shared" si="6"/>
        <v>6.7572286071484715</v>
      </c>
      <c r="L119">
        <f t="shared" si="7"/>
        <v>1.6666666666666668E-3</v>
      </c>
      <c r="M119">
        <f t="shared" si="8"/>
        <v>10.063874300363663</v>
      </c>
      <c r="N119">
        <f t="shared" si="9"/>
        <v>6.7555619404818046</v>
      </c>
    </row>
    <row r="120" spans="1:14" x14ac:dyDescent="0.3">
      <c r="A120" s="1">
        <v>40848</v>
      </c>
      <c r="B120">
        <v>1246.910034</v>
      </c>
      <c r="C120">
        <v>10.6</v>
      </c>
      <c r="D120">
        <v>15.91</v>
      </c>
      <c r="E120">
        <v>25.58</v>
      </c>
      <c r="F120">
        <v>31.35</v>
      </c>
      <c r="G120" s="2">
        <v>0.01</v>
      </c>
      <c r="H120" s="2"/>
      <c r="I120" s="1">
        <v>40848</v>
      </c>
      <c r="J120">
        <f t="shared" si="5"/>
        <v>-0.32747133397996137</v>
      </c>
      <c r="K120">
        <f t="shared" si="6"/>
        <v>-4.0227566123510172</v>
      </c>
      <c r="L120">
        <f t="shared" si="7"/>
        <v>8.3333333333333339E-4</v>
      </c>
      <c r="M120">
        <f t="shared" si="8"/>
        <v>-0.32830466731329472</v>
      </c>
      <c r="N120">
        <f t="shared" si="9"/>
        <v>-4.0235899456843507</v>
      </c>
    </row>
    <row r="121" spans="1:14" x14ac:dyDescent="0.3">
      <c r="A121" s="1">
        <v>40878</v>
      </c>
      <c r="B121">
        <v>1258.8599850000001</v>
      </c>
      <c r="C121">
        <v>10.76</v>
      </c>
      <c r="D121">
        <v>17.91</v>
      </c>
      <c r="E121">
        <v>25.959999</v>
      </c>
      <c r="F121">
        <v>25.65</v>
      </c>
      <c r="G121" s="2">
        <v>0.01</v>
      </c>
      <c r="H121" s="2"/>
      <c r="I121" s="1">
        <v>40878</v>
      </c>
      <c r="J121">
        <f t="shared" si="5"/>
        <v>0.95380194540101504</v>
      </c>
      <c r="K121">
        <f t="shared" si="6"/>
        <v>1.4746057164390802</v>
      </c>
      <c r="L121">
        <f t="shared" si="7"/>
        <v>8.3333333333333339E-4</v>
      </c>
      <c r="M121">
        <f t="shared" si="8"/>
        <v>0.95296861206768169</v>
      </c>
      <c r="N121">
        <f t="shared" si="9"/>
        <v>1.473772383105747</v>
      </c>
    </row>
    <row r="122" spans="1:14" x14ac:dyDescent="0.3">
      <c r="A122" s="1">
        <v>40909</v>
      </c>
      <c r="B122">
        <v>1312.4499510000001</v>
      </c>
      <c r="C122">
        <v>12.42</v>
      </c>
      <c r="D122">
        <v>18.709999</v>
      </c>
      <c r="E122">
        <v>29.530000999999999</v>
      </c>
      <c r="F122">
        <v>28.209999</v>
      </c>
      <c r="G122" s="2">
        <v>0.03</v>
      </c>
      <c r="H122" s="2"/>
      <c r="I122" s="1">
        <v>40909</v>
      </c>
      <c r="J122">
        <f t="shared" si="5"/>
        <v>4.1689044586163471</v>
      </c>
      <c r="K122">
        <f t="shared" si="6"/>
        <v>12.884987630461065</v>
      </c>
      <c r="L122">
        <f t="shared" si="7"/>
        <v>2.5000000000000001E-3</v>
      </c>
      <c r="M122">
        <f t="shared" si="8"/>
        <v>4.1664044586163467</v>
      </c>
      <c r="N122">
        <f t="shared" si="9"/>
        <v>12.882487630461066</v>
      </c>
    </row>
    <row r="123" spans="1:14" x14ac:dyDescent="0.3">
      <c r="A123" s="1">
        <v>40940</v>
      </c>
      <c r="B123">
        <v>1365.900024</v>
      </c>
      <c r="C123">
        <v>12.38</v>
      </c>
      <c r="D123">
        <v>19.049999</v>
      </c>
      <c r="E123">
        <v>31.74</v>
      </c>
      <c r="F123">
        <v>29.25</v>
      </c>
      <c r="G123" s="2">
        <v>0.09</v>
      </c>
      <c r="H123" s="2"/>
      <c r="I123" s="1">
        <v>40940</v>
      </c>
      <c r="J123">
        <f t="shared" si="5"/>
        <v>3.9917987412393088</v>
      </c>
      <c r="K123">
        <f t="shared" si="6"/>
        <v>7.2170985478565024</v>
      </c>
      <c r="L123">
        <f t="shared" si="7"/>
        <v>7.4999999999999997E-3</v>
      </c>
      <c r="M123">
        <f t="shared" si="8"/>
        <v>3.9842987412393089</v>
      </c>
      <c r="N123">
        <f t="shared" si="9"/>
        <v>7.2095985478565021</v>
      </c>
    </row>
    <row r="124" spans="1:14" x14ac:dyDescent="0.3">
      <c r="A124" s="1">
        <v>40969</v>
      </c>
      <c r="B124">
        <v>1408.469971</v>
      </c>
      <c r="C124">
        <v>12.48</v>
      </c>
      <c r="D124">
        <v>20.07</v>
      </c>
      <c r="E124">
        <v>32.259998000000003</v>
      </c>
      <c r="F124">
        <v>29.16</v>
      </c>
      <c r="G124" s="2">
        <v>0.08</v>
      </c>
      <c r="H124" s="2"/>
      <c r="I124" s="1">
        <v>40969</v>
      </c>
      <c r="J124">
        <f t="shared" si="5"/>
        <v>3.0690418665672285</v>
      </c>
      <c r="K124">
        <f t="shared" si="6"/>
        <v>1.6250295602517693</v>
      </c>
      <c r="L124">
        <f t="shared" si="7"/>
        <v>6.6666666666666671E-3</v>
      </c>
      <c r="M124">
        <f t="shared" si="8"/>
        <v>3.0623751999005617</v>
      </c>
      <c r="N124">
        <f t="shared" si="9"/>
        <v>1.6183628935851027</v>
      </c>
    </row>
    <row r="125" spans="1:14" x14ac:dyDescent="0.3">
      <c r="A125" s="1">
        <v>41000</v>
      </c>
      <c r="B125">
        <v>1397.8599850000001</v>
      </c>
      <c r="C125">
        <v>11.28</v>
      </c>
      <c r="D125">
        <v>19.579999999999998</v>
      </c>
      <c r="E125">
        <v>32.020000000000003</v>
      </c>
      <c r="F125">
        <v>29.4</v>
      </c>
      <c r="G125" s="2">
        <v>0.08</v>
      </c>
      <c r="H125" s="2"/>
      <c r="I125" s="1">
        <v>41000</v>
      </c>
      <c r="J125">
        <f t="shared" si="5"/>
        <v>-0.75615032584511155</v>
      </c>
      <c r="K125">
        <f t="shared" si="6"/>
        <v>-0.74673031322120342</v>
      </c>
      <c r="L125">
        <f t="shared" si="7"/>
        <v>6.6666666666666671E-3</v>
      </c>
      <c r="M125">
        <f t="shared" si="8"/>
        <v>-0.76281699251177826</v>
      </c>
      <c r="N125">
        <f t="shared" si="9"/>
        <v>-0.75339697988787013</v>
      </c>
    </row>
    <row r="126" spans="1:14" x14ac:dyDescent="0.3">
      <c r="A126" s="1">
        <v>41030</v>
      </c>
      <c r="B126">
        <v>1309.869995</v>
      </c>
      <c r="C126">
        <v>10.56</v>
      </c>
      <c r="D126">
        <v>19.09</v>
      </c>
      <c r="E126">
        <v>29.190000999999999</v>
      </c>
      <c r="F126">
        <v>26.469999000000001</v>
      </c>
      <c r="G126" s="2">
        <v>0.09</v>
      </c>
      <c r="H126" s="2"/>
      <c r="I126" s="1">
        <v>41030</v>
      </c>
      <c r="J126">
        <f t="shared" si="5"/>
        <v>-6.5014593174377717</v>
      </c>
      <c r="K126">
        <f t="shared" si="6"/>
        <v>-9.2534488444238345</v>
      </c>
      <c r="L126">
        <f t="shared" si="7"/>
        <v>7.4999999999999997E-3</v>
      </c>
      <c r="M126">
        <f t="shared" si="8"/>
        <v>-6.508959317437772</v>
      </c>
      <c r="N126">
        <f t="shared" si="9"/>
        <v>-9.2609488444238348</v>
      </c>
    </row>
    <row r="127" spans="1:14" x14ac:dyDescent="0.3">
      <c r="A127" s="1">
        <v>41061</v>
      </c>
      <c r="B127">
        <v>1362.329956</v>
      </c>
      <c r="C127">
        <v>9.59</v>
      </c>
      <c r="D127">
        <v>20.84</v>
      </c>
      <c r="E127">
        <v>30.59</v>
      </c>
      <c r="F127">
        <v>29.700001</v>
      </c>
      <c r="G127" s="2">
        <v>0.09</v>
      </c>
      <c r="H127" s="2"/>
      <c r="I127" s="1">
        <v>41061</v>
      </c>
      <c r="J127">
        <f t="shared" si="5"/>
        <v>3.926854500056296</v>
      </c>
      <c r="K127">
        <f t="shared" si="6"/>
        <v>4.6846939038481752</v>
      </c>
      <c r="L127">
        <f t="shared" si="7"/>
        <v>7.4999999999999997E-3</v>
      </c>
      <c r="M127">
        <f t="shared" si="8"/>
        <v>3.9193545000562962</v>
      </c>
      <c r="N127">
        <f t="shared" si="9"/>
        <v>4.6771939038481749</v>
      </c>
    </row>
    <row r="128" spans="1:14" x14ac:dyDescent="0.3">
      <c r="A128" s="1">
        <v>41091</v>
      </c>
      <c r="B128">
        <v>1379.3199460000001</v>
      </c>
      <c r="C128">
        <v>9.24</v>
      </c>
      <c r="D128">
        <v>20.75</v>
      </c>
      <c r="E128">
        <v>29.469999000000001</v>
      </c>
      <c r="F128">
        <v>30.200001</v>
      </c>
      <c r="G128" s="2">
        <v>0.1</v>
      </c>
      <c r="H128" s="2"/>
      <c r="I128" s="1">
        <v>41091</v>
      </c>
      <c r="J128">
        <f t="shared" si="5"/>
        <v>1.2394148122287798</v>
      </c>
      <c r="K128">
        <f t="shared" si="6"/>
        <v>-3.7300395346022328</v>
      </c>
      <c r="L128">
        <f t="shared" si="7"/>
        <v>8.3333333333333332E-3</v>
      </c>
      <c r="M128">
        <f t="shared" si="8"/>
        <v>1.2310814788954465</v>
      </c>
      <c r="N128">
        <f t="shared" si="9"/>
        <v>-3.7383728679355661</v>
      </c>
    </row>
    <row r="129" spans="1:14" x14ac:dyDescent="0.3">
      <c r="A129" s="1">
        <v>41122</v>
      </c>
      <c r="B129">
        <v>1406.540039</v>
      </c>
      <c r="C129">
        <v>9.34</v>
      </c>
      <c r="D129">
        <v>20.709999</v>
      </c>
      <c r="E129">
        <v>30.82</v>
      </c>
      <c r="F129">
        <v>31.65</v>
      </c>
      <c r="G129" s="2">
        <v>0.1</v>
      </c>
      <c r="H129" s="2"/>
      <c r="I129" s="1">
        <v>41122</v>
      </c>
      <c r="J129">
        <f t="shared" si="5"/>
        <v>1.9542230706315056</v>
      </c>
      <c r="K129">
        <f t="shared" si="6"/>
        <v>4.4791067075179818</v>
      </c>
      <c r="L129">
        <f t="shared" si="7"/>
        <v>8.3333333333333332E-3</v>
      </c>
      <c r="M129">
        <f t="shared" si="8"/>
        <v>1.9458897372981723</v>
      </c>
      <c r="N129">
        <f t="shared" si="9"/>
        <v>4.470773374184648</v>
      </c>
    </row>
    <row r="130" spans="1:14" x14ac:dyDescent="0.3">
      <c r="A130" s="1">
        <v>41153</v>
      </c>
      <c r="B130">
        <v>1440.900024</v>
      </c>
      <c r="C130">
        <v>9.86</v>
      </c>
      <c r="D130">
        <v>22.709999</v>
      </c>
      <c r="E130">
        <v>29.76</v>
      </c>
      <c r="F130">
        <v>31.459999</v>
      </c>
      <c r="G130" s="2">
        <v>0.11</v>
      </c>
      <c r="H130" s="2"/>
      <c r="I130" s="1">
        <v>41153</v>
      </c>
      <c r="J130">
        <f t="shared" si="5"/>
        <v>2.4135119353456909</v>
      </c>
      <c r="K130">
        <f t="shared" si="6"/>
        <v>-3.4998619927078547</v>
      </c>
      <c r="L130">
        <f t="shared" si="7"/>
        <v>9.1666666666666667E-3</v>
      </c>
      <c r="M130">
        <f t="shared" si="8"/>
        <v>2.4043452686790241</v>
      </c>
      <c r="N130">
        <f t="shared" si="9"/>
        <v>-3.5090286593745215</v>
      </c>
    </row>
    <row r="131" spans="1:14" x14ac:dyDescent="0.3">
      <c r="A131" s="1">
        <v>41183</v>
      </c>
      <c r="B131">
        <v>1412.1999510000001</v>
      </c>
      <c r="C131">
        <v>11.16</v>
      </c>
      <c r="D131">
        <v>21.059999000000001</v>
      </c>
      <c r="E131">
        <v>28.540001</v>
      </c>
      <c r="F131">
        <v>31.08</v>
      </c>
      <c r="G131" s="2">
        <v>0.1</v>
      </c>
      <c r="H131" s="2"/>
      <c r="I131" s="1">
        <v>41183</v>
      </c>
      <c r="J131">
        <f t="shared" si="5"/>
        <v>-2.0119197610533726</v>
      </c>
      <c r="K131">
        <f t="shared" si="6"/>
        <v>-4.1858562877659029</v>
      </c>
      <c r="L131">
        <f t="shared" si="7"/>
        <v>8.3333333333333332E-3</v>
      </c>
      <c r="M131">
        <f t="shared" si="8"/>
        <v>-2.0202530943867059</v>
      </c>
      <c r="N131">
        <f t="shared" si="9"/>
        <v>-4.1941896210992367</v>
      </c>
    </row>
    <row r="132" spans="1:14" x14ac:dyDescent="0.3">
      <c r="A132" s="1">
        <v>41214</v>
      </c>
      <c r="B132">
        <v>1416.339966</v>
      </c>
      <c r="C132">
        <v>11.45</v>
      </c>
      <c r="D132">
        <v>21.129999000000002</v>
      </c>
      <c r="E132">
        <v>26.620000999999998</v>
      </c>
      <c r="F132">
        <v>32.18</v>
      </c>
      <c r="G132" s="2">
        <v>0.09</v>
      </c>
      <c r="H132" s="2"/>
      <c r="I132" s="1">
        <v>41214</v>
      </c>
      <c r="J132">
        <f t="shared" ref="J132:J195" si="10">LN(B132/B131)*100</f>
        <v>0.29273180353572276</v>
      </c>
      <c r="K132">
        <f t="shared" ref="K132:K195" si="11">LN(E132/E131)*100</f>
        <v>-6.9643796554527349</v>
      </c>
      <c r="L132">
        <f t="shared" ref="L132:L195" si="12">G132/12</f>
        <v>7.4999999999999997E-3</v>
      </c>
      <c r="M132">
        <f t="shared" ref="M132:M195" si="13">J132-L132</f>
        <v>0.28523180353572275</v>
      </c>
      <c r="N132">
        <f t="shared" ref="N132:N195" si="14">K132-L132</f>
        <v>-6.9718796554527351</v>
      </c>
    </row>
    <row r="133" spans="1:14" x14ac:dyDescent="0.3">
      <c r="A133" s="1">
        <v>41244</v>
      </c>
      <c r="B133">
        <v>1426.1899410000001</v>
      </c>
      <c r="C133">
        <v>12.95</v>
      </c>
      <c r="D133">
        <v>20.99</v>
      </c>
      <c r="E133">
        <v>26.709999</v>
      </c>
      <c r="F133">
        <v>33.32</v>
      </c>
      <c r="G133" s="2">
        <v>7.0000000000000007E-2</v>
      </c>
      <c r="H133" s="2"/>
      <c r="I133" s="1">
        <v>41244</v>
      </c>
      <c r="J133">
        <f t="shared" si="10"/>
        <v>0.69304561413692101</v>
      </c>
      <c r="K133">
        <f t="shared" si="11"/>
        <v>0.33751391500024708</v>
      </c>
      <c r="L133">
        <f t="shared" si="12"/>
        <v>5.8333333333333336E-3</v>
      </c>
      <c r="M133">
        <f t="shared" si="13"/>
        <v>0.68721228080358765</v>
      </c>
      <c r="N133">
        <f t="shared" si="14"/>
        <v>0.33168058166691372</v>
      </c>
    </row>
    <row r="134" spans="1:14" x14ac:dyDescent="0.3">
      <c r="A134" s="1">
        <v>41275</v>
      </c>
      <c r="B134">
        <v>1498.1099850000001</v>
      </c>
      <c r="C134">
        <v>12.95</v>
      </c>
      <c r="D134">
        <v>22.280000999999999</v>
      </c>
      <c r="E134">
        <v>27.450001</v>
      </c>
      <c r="F134">
        <v>35.509998000000003</v>
      </c>
      <c r="G134" s="2">
        <v>7.0000000000000007E-2</v>
      </c>
      <c r="H134" s="2"/>
      <c r="I134" s="1">
        <v>41275</v>
      </c>
      <c r="J134">
        <f t="shared" si="10"/>
        <v>4.9197792048925288</v>
      </c>
      <c r="K134">
        <f t="shared" si="11"/>
        <v>2.7328214702704123</v>
      </c>
      <c r="L134">
        <f t="shared" si="12"/>
        <v>5.8333333333333336E-3</v>
      </c>
      <c r="M134">
        <f t="shared" si="13"/>
        <v>4.9139458715591955</v>
      </c>
      <c r="N134">
        <f t="shared" si="14"/>
        <v>2.726988136937079</v>
      </c>
    </row>
    <row r="135" spans="1:14" x14ac:dyDescent="0.3">
      <c r="A135" s="1">
        <v>41306</v>
      </c>
      <c r="B135">
        <v>1514.6800539999999</v>
      </c>
      <c r="C135">
        <v>12.61</v>
      </c>
      <c r="D135">
        <v>23.219999000000001</v>
      </c>
      <c r="E135">
        <v>27.799999</v>
      </c>
      <c r="F135">
        <v>34.240001999999997</v>
      </c>
      <c r="G135" s="2">
        <v>0.1</v>
      </c>
      <c r="H135" s="2"/>
      <c r="I135" s="1">
        <v>41306</v>
      </c>
      <c r="J135">
        <f t="shared" si="10"/>
        <v>1.0999927551865671</v>
      </c>
      <c r="K135">
        <f t="shared" si="11"/>
        <v>1.2669780339956178</v>
      </c>
      <c r="L135">
        <f t="shared" si="12"/>
        <v>8.3333333333333332E-3</v>
      </c>
      <c r="M135">
        <f t="shared" si="13"/>
        <v>1.0916594218532338</v>
      </c>
      <c r="N135">
        <f t="shared" si="14"/>
        <v>1.2586447006622845</v>
      </c>
    </row>
    <row r="136" spans="1:14" x14ac:dyDescent="0.3">
      <c r="A136" s="1">
        <v>41334</v>
      </c>
      <c r="B136">
        <v>1569.1800539999999</v>
      </c>
      <c r="C136">
        <v>13.15</v>
      </c>
      <c r="D136">
        <v>23.120000999999998</v>
      </c>
      <c r="E136">
        <v>28.610001</v>
      </c>
      <c r="F136">
        <v>32.330002</v>
      </c>
      <c r="G136" s="2">
        <v>0.09</v>
      </c>
      <c r="H136" s="2"/>
      <c r="I136" s="1">
        <v>41334</v>
      </c>
      <c r="J136">
        <f t="shared" si="10"/>
        <v>3.5348993156975879</v>
      </c>
      <c r="K136">
        <f t="shared" si="11"/>
        <v>2.8720357289464284</v>
      </c>
      <c r="L136">
        <f t="shared" si="12"/>
        <v>7.4999999999999997E-3</v>
      </c>
      <c r="M136">
        <f t="shared" si="13"/>
        <v>3.527399315697588</v>
      </c>
      <c r="N136">
        <f t="shared" si="14"/>
        <v>2.8645357289464286</v>
      </c>
    </row>
    <row r="137" spans="1:14" x14ac:dyDescent="0.3">
      <c r="A137" s="1">
        <v>41365</v>
      </c>
      <c r="B137">
        <v>1597.5500489999999</v>
      </c>
      <c r="C137">
        <v>13.71</v>
      </c>
      <c r="D137">
        <v>22.290001</v>
      </c>
      <c r="E137">
        <v>33.099997999999999</v>
      </c>
      <c r="F137">
        <v>32.779998999999997</v>
      </c>
      <c r="G137" s="2">
        <v>0.06</v>
      </c>
      <c r="H137" s="2"/>
      <c r="I137" s="1">
        <v>41365</v>
      </c>
      <c r="J137">
        <f t="shared" si="10"/>
        <v>1.7918012019289373</v>
      </c>
      <c r="K137">
        <f t="shared" si="11"/>
        <v>14.577687994522263</v>
      </c>
      <c r="L137">
        <f t="shared" si="12"/>
        <v>5.0000000000000001E-3</v>
      </c>
      <c r="M137">
        <f t="shared" si="13"/>
        <v>1.7868012019289374</v>
      </c>
      <c r="N137">
        <f t="shared" si="14"/>
        <v>14.572687994522262</v>
      </c>
    </row>
    <row r="138" spans="1:14" x14ac:dyDescent="0.3">
      <c r="A138" s="1">
        <v>41395</v>
      </c>
      <c r="B138">
        <v>1631.709961</v>
      </c>
      <c r="C138">
        <v>15.68</v>
      </c>
      <c r="D138">
        <v>23.32</v>
      </c>
      <c r="E138">
        <v>34.900002000000001</v>
      </c>
      <c r="F138">
        <v>33.779998999999997</v>
      </c>
      <c r="G138" s="2">
        <v>0.04</v>
      </c>
      <c r="H138" s="2"/>
      <c r="I138" s="1">
        <v>41395</v>
      </c>
      <c r="J138">
        <f t="shared" si="10"/>
        <v>2.1157284416102327</v>
      </c>
      <c r="K138">
        <f t="shared" si="11"/>
        <v>5.2953664554915463</v>
      </c>
      <c r="L138">
        <f t="shared" si="12"/>
        <v>3.3333333333333335E-3</v>
      </c>
      <c r="M138">
        <f t="shared" si="13"/>
        <v>2.1123951082768992</v>
      </c>
      <c r="N138">
        <f t="shared" si="14"/>
        <v>5.2920331221582133</v>
      </c>
    </row>
    <row r="139" spans="1:14" x14ac:dyDescent="0.3">
      <c r="A139" s="1">
        <v>41426</v>
      </c>
      <c r="B139">
        <v>1609.780029</v>
      </c>
      <c r="C139">
        <v>15.47</v>
      </c>
      <c r="D139">
        <v>23.190000999999999</v>
      </c>
      <c r="E139">
        <v>34.540000999999997</v>
      </c>
      <c r="F139">
        <v>30.709999</v>
      </c>
      <c r="G139" s="2">
        <v>0.05</v>
      </c>
      <c r="H139" s="2"/>
      <c r="I139" s="1">
        <v>41426</v>
      </c>
      <c r="J139">
        <f t="shared" si="10"/>
        <v>-1.3530979060746515</v>
      </c>
      <c r="K139">
        <f t="shared" si="11"/>
        <v>-1.0368784844498329</v>
      </c>
      <c r="L139">
        <f t="shared" si="12"/>
        <v>4.1666666666666666E-3</v>
      </c>
      <c r="M139">
        <f t="shared" si="13"/>
        <v>-1.3572645727413182</v>
      </c>
      <c r="N139">
        <f t="shared" si="14"/>
        <v>-1.0410451511164995</v>
      </c>
    </row>
    <row r="140" spans="1:14" x14ac:dyDescent="0.3">
      <c r="A140" s="1">
        <v>41456</v>
      </c>
      <c r="B140">
        <v>1689.420044</v>
      </c>
      <c r="C140">
        <v>16.879999000000002</v>
      </c>
      <c r="D140">
        <v>24.370000999999998</v>
      </c>
      <c r="E140">
        <v>31.84</v>
      </c>
      <c r="F140">
        <v>32.349997999999999</v>
      </c>
      <c r="G140" s="2">
        <v>0.04</v>
      </c>
      <c r="H140" s="2"/>
      <c r="I140" s="1">
        <v>41456</v>
      </c>
      <c r="J140">
        <f t="shared" si="10"/>
        <v>4.8287759096565326</v>
      </c>
      <c r="K140">
        <f t="shared" si="11"/>
        <v>-8.1394740694289531</v>
      </c>
      <c r="L140">
        <f t="shared" si="12"/>
        <v>3.3333333333333335E-3</v>
      </c>
      <c r="M140">
        <f t="shared" si="13"/>
        <v>4.8254425763231996</v>
      </c>
      <c r="N140">
        <f t="shared" si="14"/>
        <v>-8.142807402762287</v>
      </c>
    </row>
    <row r="141" spans="1:14" x14ac:dyDescent="0.3">
      <c r="A141" s="1">
        <v>41487</v>
      </c>
      <c r="B141">
        <v>1635.9499510000001</v>
      </c>
      <c r="C141">
        <v>16.190000999999999</v>
      </c>
      <c r="D141">
        <v>23.139999</v>
      </c>
      <c r="E141">
        <v>33.400002000000001</v>
      </c>
      <c r="F141">
        <v>31.860001</v>
      </c>
      <c r="G141" s="2">
        <v>0.04</v>
      </c>
      <c r="H141" s="2"/>
      <c r="I141" s="1">
        <v>41487</v>
      </c>
      <c r="J141">
        <f t="shared" si="10"/>
        <v>-3.216165539386489</v>
      </c>
      <c r="K141">
        <f t="shared" si="11"/>
        <v>4.7832598886710249</v>
      </c>
      <c r="L141">
        <f t="shared" si="12"/>
        <v>3.3333333333333335E-3</v>
      </c>
      <c r="M141">
        <f t="shared" si="13"/>
        <v>-3.2194988727198224</v>
      </c>
      <c r="N141">
        <f t="shared" si="14"/>
        <v>4.779926555337692</v>
      </c>
    </row>
    <row r="142" spans="1:14" x14ac:dyDescent="0.3">
      <c r="A142" s="1">
        <v>41518</v>
      </c>
      <c r="B142">
        <v>1682.410034</v>
      </c>
      <c r="C142">
        <v>16.870000999999998</v>
      </c>
      <c r="D142">
        <v>23.889999</v>
      </c>
      <c r="E142">
        <v>33.279998999999997</v>
      </c>
      <c r="F142">
        <v>33.169998</v>
      </c>
      <c r="G142" s="2">
        <v>0.02</v>
      </c>
      <c r="H142" s="2"/>
      <c r="I142" s="1">
        <v>41518</v>
      </c>
      <c r="J142">
        <f t="shared" si="10"/>
        <v>2.8003664073161243</v>
      </c>
      <c r="K142">
        <f t="shared" si="11"/>
        <v>-0.35993739579621153</v>
      </c>
      <c r="L142">
        <f t="shared" si="12"/>
        <v>1.6666666666666668E-3</v>
      </c>
      <c r="M142">
        <f t="shared" si="13"/>
        <v>2.7986997406494578</v>
      </c>
      <c r="N142">
        <f t="shared" si="14"/>
        <v>-0.36160406246287818</v>
      </c>
    </row>
    <row r="143" spans="1:14" x14ac:dyDescent="0.3">
      <c r="A143" s="1">
        <v>41548</v>
      </c>
      <c r="B143">
        <v>1758.6999510000001</v>
      </c>
      <c r="C143">
        <v>17.110001</v>
      </c>
      <c r="D143">
        <v>26.139999</v>
      </c>
      <c r="E143">
        <v>35.409999999999997</v>
      </c>
      <c r="F143">
        <v>33.5</v>
      </c>
      <c r="G143" s="2">
        <v>0.05</v>
      </c>
      <c r="H143" s="2"/>
      <c r="I143" s="1">
        <v>41548</v>
      </c>
      <c r="J143">
        <f t="shared" si="10"/>
        <v>4.4347562411218275</v>
      </c>
      <c r="K143">
        <f t="shared" si="11"/>
        <v>6.2037680218881972</v>
      </c>
      <c r="L143">
        <f t="shared" si="12"/>
        <v>4.1666666666666666E-3</v>
      </c>
      <c r="M143">
        <f t="shared" si="13"/>
        <v>4.4305895744551611</v>
      </c>
      <c r="N143">
        <f t="shared" si="14"/>
        <v>6.1996013552215308</v>
      </c>
    </row>
    <row r="144" spans="1:14" x14ac:dyDescent="0.3">
      <c r="A144" s="1">
        <v>41579</v>
      </c>
      <c r="B144">
        <v>1806.5500489999999</v>
      </c>
      <c r="C144">
        <v>17.079999999999998</v>
      </c>
      <c r="D144">
        <v>26.66</v>
      </c>
      <c r="E144">
        <v>38.130001</v>
      </c>
      <c r="F144">
        <v>35.290000999999997</v>
      </c>
      <c r="G144" s="2">
        <v>7.0000000000000007E-2</v>
      </c>
      <c r="H144" s="2"/>
      <c r="I144" s="1">
        <v>41579</v>
      </c>
      <c r="J144">
        <f t="shared" si="10"/>
        <v>2.684410427742177</v>
      </c>
      <c r="K144">
        <f t="shared" si="11"/>
        <v>7.4007133971728454</v>
      </c>
      <c r="L144">
        <f t="shared" si="12"/>
        <v>5.8333333333333336E-3</v>
      </c>
      <c r="M144">
        <f t="shared" si="13"/>
        <v>2.6785770944088436</v>
      </c>
      <c r="N144">
        <f t="shared" si="14"/>
        <v>7.394880063839512</v>
      </c>
    </row>
    <row r="145" spans="1:14" x14ac:dyDescent="0.3">
      <c r="A145" s="1">
        <v>41609</v>
      </c>
      <c r="B145">
        <v>1845.8599850000001</v>
      </c>
      <c r="C145">
        <v>15.43</v>
      </c>
      <c r="D145">
        <v>28.030000999999999</v>
      </c>
      <c r="E145">
        <v>37.409999999999997</v>
      </c>
      <c r="F145">
        <v>38.259998000000003</v>
      </c>
      <c r="G145" s="2">
        <v>7.0000000000000007E-2</v>
      </c>
      <c r="H145" s="2"/>
      <c r="I145" s="1">
        <v>41609</v>
      </c>
      <c r="J145">
        <f t="shared" si="10"/>
        <v>2.152630924897645</v>
      </c>
      <c r="K145">
        <f t="shared" si="11"/>
        <v>-1.9063351735486005</v>
      </c>
      <c r="L145">
        <f t="shared" si="12"/>
        <v>5.8333333333333336E-3</v>
      </c>
      <c r="M145">
        <f t="shared" si="13"/>
        <v>2.1467975915643116</v>
      </c>
      <c r="N145">
        <f t="shared" si="14"/>
        <v>-1.9121685068819338</v>
      </c>
    </row>
    <row r="146" spans="1:14" x14ac:dyDescent="0.3">
      <c r="A146" s="1">
        <v>41640</v>
      </c>
      <c r="B146">
        <v>1782.6800539999999</v>
      </c>
      <c r="C146">
        <v>14.96</v>
      </c>
      <c r="D146">
        <v>25.129999000000002</v>
      </c>
      <c r="E146">
        <v>37.840000000000003</v>
      </c>
      <c r="F146">
        <v>36.900002000000001</v>
      </c>
      <c r="G146" s="2">
        <v>0.04</v>
      </c>
      <c r="H146" s="2"/>
      <c r="I146" s="1">
        <v>41640</v>
      </c>
      <c r="J146">
        <f t="shared" si="10"/>
        <v>-3.4827405158440383</v>
      </c>
      <c r="K146">
        <f t="shared" si="11"/>
        <v>1.142869582362285</v>
      </c>
      <c r="L146">
        <f t="shared" si="12"/>
        <v>3.3333333333333335E-3</v>
      </c>
      <c r="M146">
        <f t="shared" si="13"/>
        <v>-3.4860738491773717</v>
      </c>
      <c r="N146">
        <f t="shared" si="14"/>
        <v>1.1395362490289516</v>
      </c>
    </row>
    <row r="147" spans="1:14" x14ac:dyDescent="0.3">
      <c r="A147" s="1">
        <v>41671</v>
      </c>
      <c r="B147">
        <v>1857.6800539999999</v>
      </c>
      <c r="C147">
        <v>15.39</v>
      </c>
      <c r="D147">
        <v>25.469999000000001</v>
      </c>
      <c r="E147">
        <v>38.310001</v>
      </c>
      <c r="F147">
        <v>39.110000999999997</v>
      </c>
      <c r="G147" s="2">
        <v>0.05</v>
      </c>
      <c r="H147" s="2"/>
      <c r="I147" s="1">
        <v>41671</v>
      </c>
      <c r="J147">
        <f t="shared" si="10"/>
        <v>4.1210546158163499</v>
      </c>
      <c r="K147">
        <f t="shared" si="11"/>
        <v>1.2344240631724854</v>
      </c>
      <c r="L147">
        <f t="shared" si="12"/>
        <v>4.1666666666666666E-3</v>
      </c>
      <c r="M147">
        <f t="shared" si="13"/>
        <v>4.1168879491496835</v>
      </c>
      <c r="N147">
        <f t="shared" si="14"/>
        <v>1.2302573965058188</v>
      </c>
    </row>
    <row r="148" spans="1:14" x14ac:dyDescent="0.3">
      <c r="A148" s="1">
        <v>41699</v>
      </c>
      <c r="B148">
        <v>1873.959961</v>
      </c>
      <c r="C148">
        <v>15.6</v>
      </c>
      <c r="D148">
        <v>25.889999</v>
      </c>
      <c r="E148">
        <v>40.990001999999997</v>
      </c>
      <c r="F148">
        <v>40.909999999999997</v>
      </c>
      <c r="G148" s="2">
        <v>0.05</v>
      </c>
      <c r="H148" s="2"/>
      <c r="I148" s="1">
        <v>41699</v>
      </c>
      <c r="J148">
        <f t="shared" si="10"/>
        <v>0.87253916348887728</v>
      </c>
      <c r="K148">
        <f t="shared" si="11"/>
        <v>6.7617198493230877</v>
      </c>
      <c r="L148">
        <f t="shared" si="12"/>
        <v>4.1666666666666666E-3</v>
      </c>
      <c r="M148">
        <f t="shared" si="13"/>
        <v>0.86837249682221063</v>
      </c>
      <c r="N148">
        <f t="shared" si="14"/>
        <v>6.7575531826564212</v>
      </c>
    </row>
    <row r="149" spans="1:14" x14ac:dyDescent="0.3">
      <c r="A149" s="1">
        <v>41730</v>
      </c>
      <c r="B149">
        <v>1884.3900149999999</v>
      </c>
      <c r="C149">
        <v>16.149999999999999</v>
      </c>
      <c r="D149">
        <v>26.889999</v>
      </c>
      <c r="E149">
        <v>40.400002000000001</v>
      </c>
      <c r="F149">
        <v>40.880001</v>
      </c>
      <c r="G149" s="2">
        <v>0.03</v>
      </c>
      <c r="H149" s="2"/>
      <c r="I149" s="1">
        <v>41730</v>
      </c>
      <c r="J149">
        <f t="shared" si="10"/>
        <v>0.55503510011688861</v>
      </c>
      <c r="K149">
        <f t="shared" si="11"/>
        <v>-1.4498348836579669</v>
      </c>
      <c r="L149">
        <f t="shared" si="12"/>
        <v>2.5000000000000001E-3</v>
      </c>
      <c r="M149">
        <f t="shared" si="13"/>
        <v>0.55253510011688867</v>
      </c>
      <c r="N149">
        <f t="shared" si="14"/>
        <v>-1.4523348836579668</v>
      </c>
    </row>
    <row r="150" spans="1:14" x14ac:dyDescent="0.3">
      <c r="A150" s="1">
        <v>41760</v>
      </c>
      <c r="B150">
        <v>1923.869995</v>
      </c>
      <c r="C150">
        <v>16.440000999999999</v>
      </c>
      <c r="D150">
        <v>26.790001</v>
      </c>
      <c r="E150">
        <v>40.939999</v>
      </c>
      <c r="F150">
        <v>42.02</v>
      </c>
      <c r="G150" s="2">
        <v>0.03</v>
      </c>
      <c r="H150" s="2"/>
      <c r="I150" s="1">
        <v>41760</v>
      </c>
      <c r="J150">
        <f t="shared" si="10"/>
        <v>2.0734610733356593</v>
      </c>
      <c r="K150">
        <f t="shared" si="11"/>
        <v>1.3277721335100345</v>
      </c>
      <c r="L150">
        <f t="shared" si="12"/>
        <v>2.5000000000000001E-3</v>
      </c>
      <c r="M150">
        <f t="shared" si="13"/>
        <v>2.0709610733356594</v>
      </c>
      <c r="N150">
        <f t="shared" si="14"/>
        <v>1.3252721335100346</v>
      </c>
    </row>
    <row r="151" spans="1:14" x14ac:dyDescent="0.3">
      <c r="A151" s="1">
        <v>41791</v>
      </c>
      <c r="B151">
        <v>1962.290039</v>
      </c>
      <c r="C151">
        <v>17.239999999999998</v>
      </c>
      <c r="D151">
        <v>26.280000999999999</v>
      </c>
      <c r="E151">
        <v>41.700001</v>
      </c>
      <c r="F151">
        <v>40.529998999999997</v>
      </c>
      <c r="G151" s="2">
        <v>0.04</v>
      </c>
      <c r="H151" s="2"/>
      <c r="I151" s="1">
        <v>41791</v>
      </c>
      <c r="J151">
        <f t="shared" si="10"/>
        <v>1.9773398659919617</v>
      </c>
      <c r="K151">
        <f t="shared" si="11"/>
        <v>1.8393596978416995</v>
      </c>
      <c r="L151">
        <f t="shared" si="12"/>
        <v>3.3333333333333335E-3</v>
      </c>
      <c r="M151">
        <f t="shared" si="13"/>
        <v>1.9740065326586282</v>
      </c>
      <c r="N151">
        <f t="shared" si="14"/>
        <v>1.8360263645083661</v>
      </c>
    </row>
    <row r="152" spans="1:14" x14ac:dyDescent="0.3">
      <c r="A152" s="1">
        <v>41821</v>
      </c>
      <c r="B152">
        <v>1929.8000489999999</v>
      </c>
      <c r="C152">
        <v>17.02</v>
      </c>
      <c r="D152">
        <v>25.15</v>
      </c>
      <c r="E152">
        <v>43.16</v>
      </c>
      <c r="F152">
        <v>40.389999000000003</v>
      </c>
      <c r="G152" s="2">
        <v>0.03</v>
      </c>
      <c r="H152" s="2"/>
      <c r="I152" s="1">
        <v>41821</v>
      </c>
      <c r="J152">
        <f t="shared" si="10"/>
        <v>-1.6695782458769428</v>
      </c>
      <c r="K152">
        <f t="shared" si="11"/>
        <v>3.4412987604363012</v>
      </c>
      <c r="L152">
        <f t="shared" si="12"/>
        <v>2.5000000000000001E-3</v>
      </c>
      <c r="M152">
        <f t="shared" si="13"/>
        <v>-1.6720782458769428</v>
      </c>
      <c r="N152">
        <f t="shared" si="14"/>
        <v>3.4387987604363013</v>
      </c>
    </row>
    <row r="153" spans="1:14" x14ac:dyDescent="0.3">
      <c r="A153" s="1">
        <v>41852</v>
      </c>
      <c r="B153">
        <v>2004.0699460000001</v>
      </c>
      <c r="C153">
        <v>17.41</v>
      </c>
      <c r="D153">
        <v>25.98</v>
      </c>
      <c r="E153">
        <v>45.43</v>
      </c>
      <c r="F153">
        <v>41.529998999999997</v>
      </c>
      <c r="G153" s="2">
        <v>0.03</v>
      </c>
      <c r="H153" s="2"/>
      <c r="I153" s="1">
        <v>41852</v>
      </c>
      <c r="J153">
        <f t="shared" si="10"/>
        <v>3.7763689811750627</v>
      </c>
      <c r="K153">
        <f t="shared" si="11"/>
        <v>5.1258539381378121</v>
      </c>
      <c r="L153">
        <f t="shared" si="12"/>
        <v>2.5000000000000001E-3</v>
      </c>
      <c r="M153">
        <f t="shared" si="13"/>
        <v>3.7738689811750628</v>
      </c>
      <c r="N153">
        <f t="shared" si="14"/>
        <v>5.1233539381378117</v>
      </c>
    </row>
    <row r="154" spans="1:14" x14ac:dyDescent="0.3">
      <c r="A154" s="1">
        <v>41883</v>
      </c>
      <c r="B154">
        <v>1971.4399410000001</v>
      </c>
      <c r="C154">
        <v>14.79</v>
      </c>
      <c r="D154">
        <v>25.620000999999998</v>
      </c>
      <c r="E154">
        <v>46.360000999999997</v>
      </c>
      <c r="F154">
        <v>38.279998999999997</v>
      </c>
      <c r="G154" s="2">
        <v>0.02</v>
      </c>
      <c r="H154" s="2"/>
      <c r="I154" s="1">
        <v>41883</v>
      </c>
      <c r="J154">
        <f t="shared" si="10"/>
        <v>-1.6415875542000165</v>
      </c>
      <c r="K154">
        <f t="shared" si="11"/>
        <v>2.0264360270558064</v>
      </c>
      <c r="L154">
        <f t="shared" si="12"/>
        <v>1.6666666666666668E-3</v>
      </c>
      <c r="M154">
        <f t="shared" si="13"/>
        <v>-1.6432542208666832</v>
      </c>
      <c r="N154">
        <f t="shared" si="14"/>
        <v>2.0247693603891399</v>
      </c>
    </row>
    <row r="155" spans="1:14" x14ac:dyDescent="0.3">
      <c r="A155" s="1">
        <v>41913</v>
      </c>
      <c r="B155">
        <v>2018.209961</v>
      </c>
      <c r="C155">
        <v>14.09</v>
      </c>
      <c r="D155">
        <v>25.809999000000001</v>
      </c>
      <c r="E155">
        <v>46.950001</v>
      </c>
      <c r="F155">
        <v>39.049999</v>
      </c>
      <c r="G155" s="2">
        <v>0.02</v>
      </c>
      <c r="H155" s="2"/>
      <c r="I155" s="1">
        <v>41913</v>
      </c>
      <c r="J155">
        <f t="shared" si="10"/>
        <v>2.3446750357148596</v>
      </c>
      <c r="K155">
        <f t="shared" si="11"/>
        <v>1.2646186911656354</v>
      </c>
      <c r="L155">
        <f t="shared" si="12"/>
        <v>1.6666666666666668E-3</v>
      </c>
      <c r="M155">
        <f t="shared" si="13"/>
        <v>2.3430083690481931</v>
      </c>
      <c r="N155">
        <f t="shared" si="14"/>
        <v>1.2629520244989687</v>
      </c>
    </row>
    <row r="156" spans="1:14" x14ac:dyDescent="0.3">
      <c r="A156" s="1">
        <v>41944</v>
      </c>
      <c r="B156">
        <v>2065.780029</v>
      </c>
      <c r="C156">
        <v>15.73</v>
      </c>
      <c r="D156">
        <v>26.49</v>
      </c>
      <c r="E156">
        <v>47.810001</v>
      </c>
      <c r="F156">
        <v>42.41</v>
      </c>
      <c r="G156" s="2">
        <v>0.02</v>
      </c>
      <c r="H156" s="2"/>
      <c r="I156" s="1">
        <v>41944</v>
      </c>
      <c r="J156">
        <f t="shared" si="10"/>
        <v>2.3296932480203676</v>
      </c>
      <c r="K156">
        <f t="shared" si="11"/>
        <v>1.8151616600611875</v>
      </c>
      <c r="L156">
        <f t="shared" si="12"/>
        <v>1.6666666666666668E-3</v>
      </c>
      <c r="M156">
        <f t="shared" si="13"/>
        <v>2.3280265813537011</v>
      </c>
      <c r="N156">
        <f t="shared" si="14"/>
        <v>1.8134949933945208</v>
      </c>
    </row>
    <row r="157" spans="1:14" x14ac:dyDescent="0.3">
      <c r="A157" s="1">
        <v>41974</v>
      </c>
      <c r="B157">
        <v>2058.8999020000001</v>
      </c>
      <c r="C157">
        <v>15.5</v>
      </c>
      <c r="D157">
        <v>25.27</v>
      </c>
      <c r="E157">
        <v>46.450001</v>
      </c>
      <c r="F157">
        <v>44.970001000000003</v>
      </c>
      <c r="G157" s="2">
        <v>0.03</v>
      </c>
      <c r="H157" s="2"/>
      <c r="I157" s="1">
        <v>41974</v>
      </c>
      <c r="J157">
        <f t="shared" si="10"/>
        <v>-0.33360811001525198</v>
      </c>
      <c r="K157">
        <f t="shared" si="11"/>
        <v>-2.8858356765765465</v>
      </c>
      <c r="L157">
        <f t="shared" si="12"/>
        <v>2.5000000000000001E-3</v>
      </c>
      <c r="M157">
        <f t="shared" si="13"/>
        <v>-0.33610811001525198</v>
      </c>
      <c r="N157">
        <f t="shared" si="14"/>
        <v>-2.8883356765765464</v>
      </c>
    </row>
    <row r="158" spans="1:14" x14ac:dyDescent="0.3">
      <c r="A158" s="1">
        <v>42005</v>
      </c>
      <c r="B158">
        <v>1996.670044</v>
      </c>
      <c r="C158">
        <v>14.71</v>
      </c>
      <c r="D158">
        <v>23.889999</v>
      </c>
      <c r="E158">
        <v>40.400002000000001</v>
      </c>
      <c r="F158">
        <v>41.889999000000003</v>
      </c>
      <c r="G158" s="2">
        <v>0.03</v>
      </c>
      <c r="H158" s="2"/>
      <c r="I158" s="1">
        <v>42005</v>
      </c>
      <c r="J158">
        <f t="shared" si="10"/>
        <v>-3.0690997058701055</v>
      </c>
      <c r="K158">
        <f t="shared" si="11"/>
        <v>-13.954665231631896</v>
      </c>
      <c r="L158">
        <f t="shared" si="12"/>
        <v>2.5000000000000001E-3</v>
      </c>
      <c r="M158">
        <f t="shared" si="13"/>
        <v>-3.0715997058701054</v>
      </c>
      <c r="N158">
        <f t="shared" si="14"/>
        <v>-13.957165231631896</v>
      </c>
    </row>
    <row r="159" spans="1:14" x14ac:dyDescent="0.3">
      <c r="A159" s="1">
        <v>42036</v>
      </c>
      <c r="B159">
        <v>2105.2299800000001</v>
      </c>
      <c r="C159">
        <v>16.34</v>
      </c>
      <c r="D159">
        <v>25.99</v>
      </c>
      <c r="E159">
        <v>43.849997999999999</v>
      </c>
      <c r="F159">
        <v>43.82</v>
      </c>
      <c r="G159" s="2">
        <v>0.02</v>
      </c>
      <c r="H159" s="2"/>
      <c r="I159" s="1">
        <v>42036</v>
      </c>
      <c r="J159">
        <f t="shared" si="10"/>
        <v>5.2943900379686193</v>
      </c>
      <c r="K159">
        <f t="shared" si="11"/>
        <v>8.1944838736103094</v>
      </c>
      <c r="L159">
        <f t="shared" si="12"/>
        <v>1.6666666666666668E-3</v>
      </c>
      <c r="M159">
        <f t="shared" si="13"/>
        <v>5.2927233713019524</v>
      </c>
      <c r="N159">
        <f t="shared" si="14"/>
        <v>8.1928172069436425</v>
      </c>
    </row>
    <row r="160" spans="1:14" x14ac:dyDescent="0.3">
      <c r="A160" s="1">
        <v>42064</v>
      </c>
      <c r="B160">
        <v>2067.6298830000001</v>
      </c>
      <c r="C160">
        <v>16.139999</v>
      </c>
      <c r="D160">
        <v>24.809999000000001</v>
      </c>
      <c r="E160">
        <v>40.659999999999997</v>
      </c>
      <c r="F160">
        <v>43.150002000000001</v>
      </c>
      <c r="G160" s="2">
        <v>0.03</v>
      </c>
      <c r="H160" s="2"/>
      <c r="I160" s="1">
        <v>42064</v>
      </c>
      <c r="J160">
        <f t="shared" si="10"/>
        <v>-1.8021748099037105</v>
      </c>
      <c r="K160">
        <f t="shared" si="11"/>
        <v>-7.5529865007956349</v>
      </c>
      <c r="L160">
        <f t="shared" si="12"/>
        <v>2.5000000000000001E-3</v>
      </c>
      <c r="M160">
        <f t="shared" si="13"/>
        <v>-1.8046748099037104</v>
      </c>
      <c r="N160">
        <f t="shared" si="14"/>
        <v>-7.5554865007956353</v>
      </c>
    </row>
    <row r="161" spans="1:14" x14ac:dyDescent="0.3">
      <c r="A161" s="1">
        <v>42095</v>
      </c>
      <c r="B161">
        <v>2087.3798830000001</v>
      </c>
      <c r="C161">
        <v>15.8</v>
      </c>
      <c r="D161">
        <v>27.08</v>
      </c>
      <c r="E161">
        <v>48.639999000000003</v>
      </c>
      <c r="F161">
        <v>43.619999</v>
      </c>
      <c r="G161" s="2">
        <v>0.02</v>
      </c>
      <c r="H161" s="2"/>
      <c r="I161" s="1">
        <v>42095</v>
      </c>
      <c r="J161">
        <f t="shared" si="10"/>
        <v>0.95066677852013382</v>
      </c>
      <c r="K161">
        <f t="shared" si="11"/>
        <v>17.920140889850032</v>
      </c>
      <c r="L161">
        <f t="shared" si="12"/>
        <v>1.6666666666666668E-3</v>
      </c>
      <c r="M161">
        <f t="shared" si="13"/>
        <v>0.94900011185346711</v>
      </c>
      <c r="N161">
        <f t="shared" si="14"/>
        <v>17.918474223183367</v>
      </c>
    </row>
    <row r="162" spans="1:14" x14ac:dyDescent="0.3">
      <c r="A162" s="1">
        <v>42125</v>
      </c>
      <c r="B162">
        <v>2108.639893</v>
      </c>
      <c r="C162">
        <v>15.17</v>
      </c>
      <c r="D162">
        <v>27.27</v>
      </c>
      <c r="E162">
        <v>46.860000999999997</v>
      </c>
      <c r="F162">
        <v>43.490001999999997</v>
      </c>
      <c r="G162" s="2">
        <v>0.02</v>
      </c>
      <c r="H162" s="2"/>
      <c r="I162" s="1">
        <v>42125</v>
      </c>
      <c r="J162">
        <f t="shared" si="10"/>
        <v>1.0133504160355653</v>
      </c>
      <c r="K162">
        <f t="shared" si="11"/>
        <v>-3.7281762678889385</v>
      </c>
      <c r="L162">
        <f t="shared" si="12"/>
        <v>1.6666666666666668E-3</v>
      </c>
      <c r="M162">
        <f t="shared" si="13"/>
        <v>1.0116837493688986</v>
      </c>
      <c r="N162">
        <f t="shared" si="14"/>
        <v>-3.729842934555605</v>
      </c>
    </row>
    <row r="163" spans="1:14" x14ac:dyDescent="0.3">
      <c r="A163" s="1">
        <v>42156</v>
      </c>
      <c r="B163">
        <v>2067</v>
      </c>
      <c r="C163">
        <v>15.01</v>
      </c>
      <c r="D163">
        <v>26.57</v>
      </c>
      <c r="E163">
        <v>44.150002000000001</v>
      </c>
      <c r="F163">
        <v>40.299999</v>
      </c>
      <c r="G163" s="2">
        <v>0.02</v>
      </c>
      <c r="H163" s="2"/>
      <c r="I163" s="1">
        <v>42156</v>
      </c>
      <c r="J163">
        <f t="shared" si="10"/>
        <v>-1.9944858470202287</v>
      </c>
      <c r="K163">
        <f t="shared" si="11"/>
        <v>-5.957148206973029</v>
      </c>
      <c r="L163">
        <f t="shared" si="12"/>
        <v>1.6666666666666668E-3</v>
      </c>
      <c r="M163">
        <f t="shared" si="13"/>
        <v>-1.9961525136868954</v>
      </c>
      <c r="N163">
        <f t="shared" si="14"/>
        <v>-5.958814873639696</v>
      </c>
    </row>
    <row r="164" spans="1:14" x14ac:dyDescent="0.3">
      <c r="A164" s="1">
        <v>42186</v>
      </c>
      <c r="B164">
        <v>2104.48999</v>
      </c>
      <c r="C164">
        <v>14.83</v>
      </c>
      <c r="D164">
        <v>26.1</v>
      </c>
      <c r="E164">
        <v>46.700001</v>
      </c>
      <c r="F164">
        <v>39.939999</v>
      </c>
      <c r="G164" s="2">
        <v>0.03</v>
      </c>
      <c r="H164" s="2"/>
      <c r="I164" s="1">
        <v>42186</v>
      </c>
      <c r="J164">
        <f t="shared" si="10"/>
        <v>1.7974872043323196</v>
      </c>
      <c r="K164">
        <f t="shared" si="11"/>
        <v>5.6151213738046382</v>
      </c>
      <c r="L164">
        <f t="shared" si="12"/>
        <v>2.5000000000000001E-3</v>
      </c>
      <c r="M164">
        <f t="shared" si="13"/>
        <v>1.7949872043323196</v>
      </c>
      <c r="N164">
        <f t="shared" si="14"/>
        <v>5.6126213738046378</v>
      </c>
    </row>
    <row r="165" spans="1:14" x14ac:dyDescent="0.3">
      <c r="A165" s="1">
        <v>42217</v>
      </c>
      <c r="B165">
        <v>1970.089966</v>
      </c>
      <c r="C165">
        <v>13.87</v>
      </c>
      <c r="D165">
        <v>25.01</v>
      </c>
      <c r="E165">
        <v>43.52</v>
      </c>
      <c r="F165">
        <v>37.090000000000003</v>
      </c>
      <c r="G165" s="2">
        <v>7.0000000000000007E-2</v>
      </c>
      <c r="H165" s="2"/>
      <c r="I165" s="1">
        <v>42217</v>
      </c>
      <c r="J165">
        <f t="shared" si="10"/>
        <v>-6.5993943015504932</v>
      </c>
      <c r="K165">
        <f t="shared" si="11"/>
        <v>-7.0523583540440429</v>
      </c>
      <c r="L165">
        <f t="shared" si="12"/>
        <v>5.8333333333333336E-3</v>
      </c>
      <c r="M165">
        <f t="shared" si="13"/>
        <v>-6.6052276348838266</v>
      </c>
      <c r="N165">
        <f t="shared" si="14"/>
        <v>-7.0581916873773762</v>
      </c>
    </row>
    <row r="166" spans="1:14" x14ac:dyDescent="0.3">
      <c r="A166" s="1">
        <v>42248</v>
      </c>
      <c r="B166">
        <v>1919.650024</v>
      </c>
      <c r="C166">
        <v>13.57</v>
      </c>
      <c r="D166">
        <v>25.219999000000001</v>
      </c>
      <c r="E166">
        <v>44.259998000000003</v>
      </c>
      <c r="F166">
        <v>36.119999</v>
      </c>
      <c r="G166" s="2">
        <v>0.02</v>
      </c>
      <c r="H166" s="2"/>
      <c r="I166" s="1">
        <v>42248</v>
      </c>
      <c r="J166">
        <f t="shared" si="10"/>
        <v>-2.5936319469292273</v>
      </c>
      <c r="K166">
        <f t="shared" si="11"/>
        <v>1.6860686887687149</v>
      </c>
      <c r="L166">
        <f t="shared" si="12"/>
        <v>1.6666666666666668E-3</v>
      </c>
      <c r="M166">
        <f t="shared" si="13"/>
        <v>-2.5952986135958938</v>
      </c>
      <c r="N166">
        <f t="shared" si="14"/>
        <v>1.6844020221020481</v>
      </c>
    </row>
    <row r="167" spans="1:14" x14ac:dyDescent="0.3">
      <c r="A167" s="1">
        <v>42278</v>
      </c>
      <c r="B167">
        <v>2080.76001</v>
      </c>
      <c r="C167">
        <v>14.81</v>
      </c>
      <c r="D167">
        <v>28.92</v>
      </c>
      <c r="E167">
        <v>52.639999000000003</v>
      </c>
      <c r="F167">
        <v>38.840000000000003</v>
      </c>
      <c r="G167" s="2">
        <v>0.02</v>
      </c>
      <c r="H167" s="2"/>
      <c r="I167" s="1">
        <v>42278</v>
      </c>
      <c r="J167">
        <f t="shared" si="10"/>
        <v>8.0590326139687569</v>
      </c>
      <c r="K167">
        <f t="shared" si="11"/>
        <v>17.339497858472683</v>
      </c>
      <c r="L167">
        <f t="shared" si="12"/>
        <v>1.6666666666666668E-3</v>
      </c>
      <c r="M167">
        <f t="shared" si="13"/>
        <v>8.05736594730209</v>
      </c>
      <c r="N167">
        <f t="shared" si="14"/>
        <v>17.337831191806018</v>
      </c>
    </row>
    <row r="168" spans="1:14" x14ac:dyDescent="0.3">
      <c r="A168" s="1">
        <v>42309</v>
      </c>
      <c r="B168">
        <v>2082.929932</v>
      </c>
      <c r="C168">
        <v>14.33</v>
      </c>
      <c r="D168">
        <v>29.940000999999999</v>
      </c>
      <c r="E168">
        <v>54.349997999999999</v>
      </c>
      <c r="F168">
        <v>38.970001000000003</v>
      </c>
      <c r="G168" s="2">
        <v>0.13</v>
      </c>
      <c r="H168" s="2"/>
      <c r="I168" s="1">
        <v>42309</v>
      </c>
      <c r="J168">
        <f t="shared" si="10"/>
        <v>0.10423072931355865</v>
      </c>
      <c r="K168">
        <f t="shared" si="11"/>
        <v>3.196830874858859</v>
      </c>
      <c r="L168">
        <f t="shared" si="12"/>
        <v>1.0833333333333334E-2</v>
      </c>
      <c r="M168">
        <f t="shared" si="13"/>
        <v>9.3397395980225312E-2</v>
      </c>
      <c r="N168">
        <f t="shared" si="14"/>
        <v>3.1859975415255257</v>
      </c>
    </row>
    <row r="169" spans="1:14" x14ac:dyDescent="0.3">
      <c r="A169" s="1">
        <v>42339</v>
      </c>
      <c r="B169">
        <v>2038.1999510000001</v>
      </c>
      <c r="C169">
        <v>14.09</v>
      </c>
      <c r="D169">
        <v>31.15</v>
      </c>
      <c r="E169">
        <v>55.48</v>
      </c>
      <c r="F169">
        <v>36.529998999999997</v>
      </c>
      <c r="G169" s="2">
        <v>0.23</v>
      </c>
      <c r="H169" s="2"/>
      <c r="I169" s="1">
        <v>42339</v>
      </c>
      <c r="J169">
        <f t="shared" si="10"/>
        <v>-2.1708482319344835</v>
      </c>
      <c r="K169">
        <f t="shared" si="11"/>
        <v>2.0578018677940979</v>
      </c>
      <c r="L169">
        <f t="shared" si="12"/>
        <v>1.9166666666666669E-2</v>
      </c>
      <c r="M169">
        <f t="shared" si="13"/>
        <v>-2.1900148986011501</v>
      </c>
      <c r="N169">
        <f t="shared" si="14"/>
        <v>2.0386352011274314</v>
      </c>
    </row>
    <row r="170" spans="1:14" x14ac:dyDescent="0.3">
      <c r="A170" s="1">
        <v>42370</v>
      </c>
      <c r="B170">
        <v>1936.9399410000001</v>
      </c>
      <c r="C170">
        <v>11.94</v>
      </c>
      <c r="D170">
        <v>29.1</v>
      </c>
      <c r="E170">
        <v>55.09</v>
      </c>
      <c r="F170">
        <v>36.310001</v>
      </c>
      <c r="G170" s="2">
        <v>0.26</v>
      </c>
      <c r="H170" s="2"/>
      <c r="I170" s="1">
        <v>42370</v>
      </c>
      <c r="J170">
        <f t="shared" si="10"/>
        <v>-5.0957663622625864</v>
      </c>
      <c r="K170">
        <f t="shared" si="11"/>
        <v>-0.70543839620055215</v>
      </c>
      <c r="L170">
        <f t="shared" si="12"/>
        <v>2.1666666666666667E-2</v>
      </c>
      <c r="M170">
        <f t="shared" si="13"/>
        <v>-5.1174330289292529</v>
      </c>
      <c r="N170">
        <f t="shared" si="14"/>
        <v>-0.72710506286721888</v>
      </c>
    </row>
    <row r="171" spans="1:14" x14ac:dyDescent="0.3">
      <c r="A171" s="1">
        <v>42401</v>
      </c>
      <c r="B171">
        <v>1937.089966</v>
      </c>
      <c r="C171">
        <v>12.51</v>
      </c>
      <c r="D171">
        <v>29.139999</v>
      </c>
      <c r="E171">
        <v>50.880001</v>
      </c>
      <c r="F171">
        <v>36.779998999999997</v>
      </c>
      <c r="G171" s="2">
        <v>0.31</v>
      </c>
      <c r="H171" s="2"/>
      <c r="I171" s="1">
        <v>42401</v>
      </c>
      <c r="J171">
        <f t="shared" si="10"/>
        <v>7.745164785847458E-3</v>
      </c>
      <c r="K171">
        <f t="shared" si="11"/>
        <v>-7.9498272798670664</v>
      </c>
      <c r="L171">
        <f t="shared" si="12"/>
        <v>2.5833333333333333E-2</v>
      </c>
      <c r="M171">
        <f t="shared" si="13"/>
        <v>-1.8088168547485874E-2</v>
      </c>
      <c r="N171">
        <f t="shared" si="14"/>
        <v>-7.9756606132003993</v>
      </c>
    </row>
    <row r="172" spans="1:14" x14ac:dyDescent="0.3">
      <c r="A172" s="1">
        <v>42430</v>
      </c>
      <c r="B172">
        <v>2056.6201169999999</v>
      </c>
      <c r="C172">
        <v>13.5</v>
      </c>
      <c r="D172">
        <v>31.790001</v>
      </c>
      <c r="E172">
        <v>55.23</v>
      </c>
      <c r="F172">
        <v>40.909999999999997</v>
      </c>
      <c r="G172" s="2">
        <v>0.3</v>
      </c>
      <c r="H172" s="2"/>
      <c r="I172" s="1">
        <v>42430</v>
      </c>
      <c r="J172">
        <f t="shared" si="10"/>
        <v>5.9877086046743209</v>
      </c>
      <c r="K172">
        <f t="shared" si="11"/>
        <v>8.2036345227141574</v>
      </c>
      <c r="L172">
        <f t="shared" si="12"/>
        <v>2.4999999999999998E-2</v>
      </c>
      <c r="M172">
        <f t="shared" si="13"/>
        <v>5.9627086046743205</v>
      </c>
      <c r="N172">
        <f t="shared" si="14"/>
        <v>8.178634522714157</v>
      </c>
    </row>
    <row r="173" spans="1:14" x14ac:dyDescent="0.3">
      <c r="A173" s="1">
        <v>42461</v>
      </c>
      <c r="B173">
        <v>2067.169922</v>
      </c>
      <c r="C173">
        <v>13.56</v>
      </c>
      <c r="D173">
        <v>30.75</v>
      </c>
      <c r="E173">
        <v>49.869999</v>
      </c>
      <c r="F173">
        <v>39.860000999999997</v>
      </c>
      <c r="G173" s="2">
        <v>0.23</v>
      </c>
      <c r="H173" s="2"/>
      <c r="I173" s="1">
        <v>42461</v>
      </c>
      <c r="J173">
        <f t="shared" si="10"/>
        <v>0.51165689405813941</v>
      </c>
      <c r="K173">
        <f t="shared" si="11"/>
        <v>-10.208668440720075</v>
      </c>
      <c r="L173">
        <f t="shared" si="12"/>
        <v>1.9166666666666669E-2</v>
      </c>
      <c r="M173">
        <f t="shared" si="13"/>
        <v>0.49249022739147275</v>
      </c>
      <c r="N173">
        <f t="shared" si="14"/>
        <v>-10.227835107386742</v>
      </c>
    </row>
    <row r="174" spans="1:14" x14ac:dyDescent="0.3">
      <c r="A174" s="1">
        <v>42491</v>
      </c>
      <c r="B174">
        <v>2093.9399410000001</v>
      </c>
      <c r="C174">
        <v>13.49</v>
      </c>
      <c r="D174">
        <v>30.23</v>
      </c>
      <c r="E174">
        <v>53</v>
      </c>
      <c r="F174">
        <v>40.200001</v>
      </c>
      <c r="G174" s="2">
        <v>0.28000000000000003</v>
      </c>
      <c r="H174" s="2"/>
      <c r="I174" s="1">
        <v>42491</v>
      </c>
      <c r="J174">
        <f t="shared" si="10"/>
        <v>1.2866946181962184</v>
      </c>
      <c r="K174">
        <f t="shared" si="11"/>
        <v>6.0872314046226359</v>
      </c>
      <c r="L174">
        <f t="shared" si="12"/>
        <v>2.3333333333333334E-2</v>
      </c>
      <c r="M174">
        <f t="shared" si="13"/>
        <v>1.263361284862885</v>
      </c>
      <c r="N174">
        <f t="shared" si="14"/>
        <v>6.0638980712893025</v>
      </c>
    </row>
    <row r="175" spans="1:14" x14ac:dyDescent="0.3">
      <c r="A175" s="1">
        <v>42522</v>
      </c>
      <c r="B175">
        <v>2099.3400879999999</v>
      </c>
      <c r="C175">
        <v>12.57</v>
      </c>
      <c r="D175">
        <v>31.48</v>
      </c>
      <c r="E175">
        <v>51.169998</v>
      </c>
      <c r="F175">
        <v>40.93</v>
      </c>
      <c r="G175" s="2">
        <v>0.27</v>
      </c>
      <c r="H175" s="2"/>
      <c r="I175" s="1">
        <v>42522</v>
      </c>
      <c r="J175">
        <f t="shared" si="10"/>
        <v>0.25756209687665843</v>
      </c>
      <c r="K175">
        <f t="shared" si="11"/>
        <v>-3.5138529820523825</v>
      </c>
      <c r="L175">
        <f t="shared" si="12"/>
        <v>2.2500000000000003E-2</v>
      </c>
      <c r="M175">
        <f t="shared" si="13"/>
        <v>0.23506209687665844</v>
      </c>
      <c r="N175">
        <f t="shared" si="14"/>
        <v>-3.5363529820523825</v>
      </c>
    </row>
    <row r="176" spans="1:14" x14ac:dyDescent="0.3">
      <c r="A176" s="1">
        <v>42552</v>
      </c>
      <c r="B176">
        <v>2173.1499020000001</v>
      </c>
      <c r="C176">
        <v>12.66</v>
      </c>
      <c r="D176">
        <v>31.139999</v>
      </c>
      <c r="E176">
        <v>56.68</v>
      </c>
      <c r="F176">
        <v>41.040000999999997</v>
      </c>
      <c r="G176" s="2">
        <v>0.3</v>
      </c>
      <c r="H176" s="2"/>
      <c r="I176" s="1">
        <v>42552</v>
      </c>
      <c r="J176">
        <f t="shared" si="10"/>
        <v>3.4554631253327099</v>
      </c>
      <c r="K176">
        <f t="shared" si="11"/>
        <v>10.226803109088163</v>
      </c>
      <c r="L176">
        <f t="shared" si="12"/>
        <v>2.4999999999999998E-2</v>
      </c>
      <c r="M176">
        <f t="shared" si="13"/>
        <v>3.43046312533271</v>
      </c>
      <c r="N176">
        <f t="shared" si="14"/>
        <v>10.201803109088162</v>
      </c>
    </row>
    <row r="177" spans="1:14" x14ac:dyDescent="0.3">
      <c r="A177" s="1">
        <v>42583</v>
      </c>
      <c r="B177">
        <v>2171.330078</v>
      </c>
      <c r="C177">
        <v>12.6</v>
      </c>
      <c r="D177">
        <v>31.24</v>
      </c>
      <c r="E177">
        <v>57.459999000000003</v>
      </c>
      <c r="F177">
        <v>41.220001000000003</v>
      </c>
      <c r="G177" s="2">
        <v>0.3</v>
      </c>
      <c r="H177" s="2"/>
      <c r="I177" s="1">
        <v>42583</v>
      </c>
      <c r="J177">
        <f t="shared" si="10"/>
        <v>-8.3776383586275094E-2</v>
      </c>
      <c r="K177">
        <f t="shared" si="11"/>
        <v>1.3667621325252586</v>
      </c>
      <c r="L177">
        <f t="shared" si="12"/>
        <v>2.4999999999999998E-2</v>
      </c>
      <c r="M177">
        <f t="shared" si="13"/>
        <v>-0.10877638358627509</v>
      </c>
      <c r="N177">
        <f t="shared" si="14"/>
        <v>1.3417621325252587</v>
      </c>
    </row>
    <row r="178" spans="1:14" x14ac:dyDescent="0.3">
      <c r="A178" s="1">
        <v>42614</v>
      </c>
      <c r="B178">
        <v>2164.330078</v>
      </c>
      <c r="C178">
        <v>12.07</v>
      </c>
      <c r="D178">
        <v>29.620000999999998</v>
      </c>
      <c r="E178">
        <v>57.599997999999999</v>
      </c>
      <c r="F178">
        <v>39.279998999999997</v>
      </c>
      <c r="G178" s="2">
        <v>0.28999999999999998</v>
      </c>
      <c r="H178" s="2"/>
      <c r="I178" s="1">
        <v>42614</v>
      </c>
      <c r="J178">
        <f t="shared" si="10"/>
        <v>-0.3229038176595182</v>
      </c>
      <c r="K178">
        <f t="shared" si="11"/>
        <v>0.2433496831890424</v>
      </c>
      <c r="L178">
        <f t="shared" si="12"/>
        <v>2.4166666666666666E-2</v>
      </c>
      <c r="M178">
        <f t="shared" si="13"/>
        <v>-0.34707048432618487</v>
      </c>
      <c r="N178">
        <f t="shared" si="14"/>
        <v>0.21918301652237573</v>
      </c>
    </row>
    <row r="179" spans="1:14" x14ac:dyDescent="0.3">
      <c r="A179" s="1">
        <v>42644</v>
      </c>
      <c r="B179">
        <v>2128.679932</v>
      </c>
      <c r="C179">
        <v>11.74</v>
      </c>
      <c r="D179">
        <v>29.1</v>
      </c>
      <c r="E179">
        <v>59.919998</v>
      </c>
      <c r="F179">
        <v>38.419998</v>
      </c>
      <c r="G179" s="2">
        <v>0.33</v>
      </c>
      <c r="H179" s="2"/>
      <c r="I179" s="1">
        <v>42644</v>
      </c>
      <c r="J179">
        <f t="shared" si="10"/>
        <v>-1.66088434137589</v>
      </c>
      <c r="K179">
        <f t="shared" si="11"/>
        <v>3.9487772851503671</v>
      </c>
      <c r="L179">
        <f t="shared" si="12"/>
        <v>2.75E-2</v>
      </c>
      <c r="M179">
        <f t="shared" si="13"/>
        <v>-1.6883843413758901</v>
      </c>
      <c r="N179">
        <f t="shared" si="14"/>
        <v>3.9212772851503672</v>
      </c>
    </row>
    <row r="180" spans="1:14" x14ac:dyDescent="0.3">
      <c r="A180" s="1">
        <v>42675</v>
      </c>
      <c r="B180">
        <v>2200.169922</v>
      </c>
      <c r="C180">
        <v>11.96</v>
      </c>
      <c r="D180">
        <v>30.76</v>
      </c>
      <c r="E180">
        <v>60.259998000000003</v>
      </c>
      <c r="F180">
        <v>40.189999</v>
      </c>
      <c r="G180" s="2">
        <v>0.45</v>
      </c>
      <c r="H180" s="2"/>
      <c r="I180" s="1">
        <v>42675</v>
      </c>
      <c r="J180">
        <f t="shared" si="10"/>
        <v>3.3032557292321325</v>
      </c>
      <c r="K180">
        <f t="shared" si="11"/>
        <v>0.56581946815161066</v>
      </c>
      <c r="L180">
        <f t="shared" si="12"/>
        <v>3.7499999999999999E-2</v>
      </c>
      <c r="M180">
        <f t="shared" si="13"/>
        <v>3.2657557292321324</v>
      </c>
      <c r="N180">
        <f t="shared" si="14"/>
        <v>0.52831946815161068</v>
      </c>
    </row>
    <row r="181" spans="1:14" x14ac:dyDescent="0.3">
      <c r="A181" s="1">
        <v>42705</v>
      </c>
      <c r="B181">
        <v>2251.570068</v>
      </c>
      <c r="C181">
        <v>12.13</v>
      </c>
      <c r="D181">
        <v>31.6</v>
      </c>
      <c r="E181">
        <v>62.139999000000003</v>
      </c>
      <c r="F181">
        <v>38.450001</v>
      </c>
      <c r="G181" s="2">
        <v>0.51</v>
      </c>
      <c r="H181" s="2"/>
      <c r="I181" s="1">
        <v>42705</v>
      </c>
      <c r="J181">
        <f t="shared" si="10"/>
        <v>2.3093186207176783</v>
      </c>
      <c r="K181">
        <f t="shared" si="11"/>
        <v>3.0721387359564871</v>
      </c>
      <c r="L181">
        <f t="shared" si="12"/>
        <v>4.2500000000000003E-2</v>
      </c>
      <c r="M181">
        <f t="shared" si="13"/>
        <v>2.2668186207176784</v>
      </c>
      <c r="N181">
        <f t="shared" si="14"/>
        <v>3.0296387359564871</v>
      </c>
    </row>
    <row r="182" spans="1:14" x14ac:dyDescent="0.3">
      <c r="A182" s="1">
        <v>42736</v>
      </c>
      <c r="B182">
        <v>2285.5900879999999</v>
      </c>
      <c r="C182">
        <v>12.36</v>
      </c>
      <c r="D182">
        <v>29.700001</v>
      </c>
      <c r="E182">
        <v>64.650002000000001</v>
      </c>
      <c r="F182">
        <v>40.110000999999997</v>
      </c>
      <c r="G182" s="2">
        <v>0.52</v>
      </c>
      <c r="H182" s="2"/>
      <c r="I182" s="1">
        <v>42736</v>
      </c>
      <c r="J182">
        <f t="shared" si="10"/>
        <v>1.4996454346657064</v>
      </c>
      <c r="K182">
        <f t="shared" si="11"/>
        <v>3.9598248281466844</v>
      </c>
      <c r="L182">
        <f t="shared" si="12"/>
        <v>4.3333333333333335E-2</v>
      </c>
      <c r="M182">
        <f t="shared" si="13"/>
        <v>1.4563121013323732</v>
      </c>
      <c r="N182">
        <f t="shared" si="14"/>
        <v>3.9164914948133509</v>
      </c>
    </row>
    <row r="183" spans="1:14" x14ac:dyDescent="0.3">
      <c r="A183" s="1">
        <v>42767</v>
      </c>
      <c r="B183">
        <v>2380.1298830000001</v>
      </c>
      <c r="C183">
        <v>12.53</v>
      </c>
      <c r="D183">
        <v>29.809999000000001</v>
      </c>
      <c r="E183">
        <v>63.98</v>
      </c>
      <c r="F183">
        <v>42.59</v>
      </c>
      <c r="G183" s="2">
        <v>0.53</v>
      </c>
      <c r="H183" s="2"/>
      <c r="I183" s="1">
        <v>42767</v>
      </c>
      <c r="J183">
        <f t="shared" si="10"/>
        <v>4.0530823675237064</v>
      </c>
      <c r="K183">
        <f t="shared" si="11"/>
        <v>-1.0417601632302347</v>
      </c>
      <c r="L183">
        <f t="shared" si="12"/>
        <v>4.4166666666666667E-2</v>
      </c>
      <c r="M183">
        <f t="shared" si="13"/>
        <v>4.00891570085704</v>
      </c>
      <c r="N183">
        <f t="shared" si="14"/>
        <v>-1.0859268298969014</v>
      </c>
    </row>
    <row r="184" spans="1:14" x14ac:dyDescent="0.3">
      <c r="A184" s="1">
        <v>42795</v>
      </c>
      <c r="B184">
        <v>2362.3400879999999</v>
      </c>
      <c r="C184">
        <v>11.64</v>
      </c>
      <c r="D184">
        <v>29.799999</v>
      </c>
      <c r="E184">
        <v>65.860000999999997</v>
      </c>
      <c r="F184">
        <v>44.610000999999997</v>
      </c>
      <c r="G184" s="2">
        <v>0.75</v>
      </c>
      <c r="H184" s="2"/>
      <c r="I184" s="1">
        <v>42795</v>
      </c>
      <c r="J184">
        <f t="shared" si="10"/>
        <v>-0.75023684076211627</v>
      </c>
      <c r="K184">
        <f t="shared" si="11"/>
        <v>2.8960757610569181</v>
      </c>
      <c r="L184">
        <f t="shared" si="12"/>
        <v>6.25E-2</v>
      </c>
      <c r="M184">
        <f t="shared" si="13"/>
        <v>-0.81273684076211627</v>
      </c>
      <c r="N184">
        <f t="shared" si="14"/>
        <v>2.8335757610569181</v>
      </c>
    </row>
    <row r="185" spans="1:14" x14ac:dyDescent="0.3">
      <c r="A185" s="1">
        <v>42826</v>
      </c>
      <c r="B185">
        <v>2388.5</v>
      </c>
      <c r="C185">
        <v>11.47</v>
      </c>
      <c r="D185">
        <v>28.99</v>
      </c>
      <c r="E185">
        <v>68.459998999999996</v>
      </c>
      <c r="F185">
        <v>44.959999000000003</v>
      </c>
      <c r="G185" s="2">
        <v>0.81</v>
      </c>
      <c r="H185" s="2"/>
      <c r="I185" s="1">
        <v>42826</v>
      </c>
      <c r="J185">
        <f t="shared" si="10"/>
        <v>1.1012863372076642</v>
      </c>
      <c r="K185">
        <f t="shared" si="11"/>
        <v>3.871832636302825</v>
      </c>
      <c r="L185">
        <f t="shared" si="12"/>
        <v>6.7500000000000004E-2</v>
      </c>
      <c r="M185">
        <f t="shared" si="13"/>
        <v>1.0337863372076641</v>
      </c>
      <c r="N185">
        <f t="shared" si="14"/>
        <v>3.8043326363028251</v>
      </c>
    </row>
    <row r="186" spans="1:14" x14ac:dyDescent="0.3">
      <c r="A186" s="1">
        <v>42856</v>
      </c>
      <c r="B186">
        <v>2415.6499020000001</v>
      </c>
      <c r="C186">
        <v>11.12</v>
      </c>
      <c r="D186">
        <v>27.379999000000002</v>
      </c>
      <c r="E186">
        <v>69.839995999999999</v>
      </c>
      <c r="F186">
        <v>45.389999000000003</v>
      </c>
      <c r="G186" s="2">
        <v>0.9</v>
      </c>
      <c r="H186" s="2"/>
      <c r="I186" s="1">
        <v>42856</v>
      </c>
      <c r="J186">
        <f t="shared" si="10"/>
        <v>1.1302807611911438</v>
      </c>
      <c r="K186">
        <f t="shared" si="11"/>
        <v>1.9957235762607297</v>
      </c>
      <c r="L186">
        <f t="shared" si="12"/>
        <v>7.4999999999999997E-2</v>
      </c>
      <c r="M186">
        <f t="shared" si="13"/>
        <v>1.0552807611911439</v>
      </c>
      <c r="N186">
        <f t="shared" si="14"/>
        <v>1.9207235762607298</v>
      </c>
    </row>
    <row r="187" spans="1:14" x14ac:dyDescent="0.3">
      <c r="A187" s="1">
        <v>42887</v>
      </c>
      <c r="B187">
        <v>2431.389893</v>
      </c>
      <c r="C187">
        <v>11.19</v>
      </c>
      <c r="D187">
        <v>27.01</v>
      </c>
      <c r="E187">
        <v>68.930000000000007</v>
      </c>
      <c r="F187">
        <v>50.139999000000003</v>
      </c>
      <c r="G187" s="2">
        <v>1</v>
      </c>
      <c r="H187" s="2"/>
      <c r="I187" s="1">
        <v>42887</v>
      </c>
      <c r="J187">
        <f t="shared" si="10"/>
        <v>0.64947048067678304</v>
      </c>
      <c r="K187">
        <f t="shared" si="11"/>
        <v>-1.3115357360016007</v>
      </c>
      <c r="L187">
        <f t="shared" si="12"/>
        <v>8.3333333333333329E-2</v>
      </c>
      <c r="M187">
        <f t="shared" si="13"/>
        <v>0.56613714734344966</v>
      </c>
      <c r="N187">
        <f t="shared" si="14"/>
        <v>-1.3948690693349339</v>
      </c>
    </row>
    <row r="188" spans="1:14" x14ac:dyDescent="0.3">
      <c r="A188" s="1">
        <v>42917</v>
      </c>
      <c r="B188">
        <v>2477.1000979999999</v>
      </c>
      <c r="C188">
        <v>11.22</v>
      </c>
      <c r="D188">
        <v>25.610001</v>
      </c>
      <c r="E188">
        <v>72.699996999999996</v>
      </c>
      <c r="F188">
        <v>49.93</v>
      </c>
      <c r="G188" s="2">
        <v>1.0900000000000001</v>
      </c>
      <c r="H188" s="2"/>
      <c r="I188" s="1">
        <v>42917</v>
      </c>
      <c r="J188">
        <f t="shared" si="10"/>
        <v>1.8625494405187379</v>
      </c>
      <c r="K188">
        <f t="shared" si="11"/>
        <v>5.3249846376437686</v>
      </c>
      <c r="L188">
        <f t="shared" si="12"/>
        <v>9.0833333333333335E-2</v>
      </c>
      <c r="M188">
        <f t="shared" si="13"/>
        <v>1.7717161071854046</v>
      </c>
      <c r="N188">
        <f t="shared" si="14"/>
        <v>5.2341513043104353</v>
      </c>
    </row>
    <row r="189" spans="1:14" x14ac:dyDescent="0.3">
      <c r="A189" s="1">
        <v>42948</v>
      </c>
      <c r="B189">
        <v>2474.419922</v>
      </c>
      <c r="C189">
        <v>11.03</v>
      </c>
      <c r="D189">
        <v>24.549999</v>
      </c>
      <c r="E189">
        <v>74.769997000000004</v>
      </c>
      <c r="F189">
        <v>50.330002</v>
      </c>
      <c r="G189" s="2">
        <v>1.03</v>
      </c>
      <c r="H189" s="2"/>
      <c r="I189" s="1">
        <v>42948</v>
      </c>
      <c r="J189">
        <f t="shared" si="10"/>
        <v>-0.10825670706883166</v>
      </c>
      <c r="K189">
        <f t="shared" si="11"/>
        <v>2.8075351614781288</v>
      </c>
      <c r="L189">
        <f t="shared" si="12"/>
        <v>8.5833333333333331E-2</v>
      </c>
      <c r="M189">
        <f t="shared" si="13"/>
        <v>-0.19409004040216499</v>
      </c>
      <c r="N189">
        <f t="shared" si="14"/>
        <v>2.7217018281447953</v>
      </c>
    </row>
    <row r="190" spans="1:14" x14ac:dyDescent="0.3">
      <c r="A190" s="1">
        <v>42979</v>
      </c>
      <c r="B190">
        <v>2521.1999510000001</v>
      </c>
      <c r="C190">
        <v>11.97</v>
      </c>
      <c r="D190">
        <v>24.18</v>
      </c>
      <c r="E190">
        <v>74.489998</v>
      </c>
      <c r="F190">
        <v>48.349997999999999</v>
      </c>
      <c r="G190" s="2">
        <v>1.05</v>
      </c>
      <c r="H190" s="2"/>
      <c r="I190" s="1">
        <v>42979</v>
      </c>
      <c r="J190">
        <f t="shared" si="10"/>
        <v>1.872896562057039</v>
      </c>
      <c r="K190">
        <f t="shared" si="11"/>
        <v>-0.37518335498364003</v>
      </c>
      <c r="L190">
        <f t="shared" si="12"/>
        <v>8.7500000000000008E-2</v>
      </c>
      <c r="M190">
        <f t="shared" si="13"/>
        <v>1.7853965620570391</v>
      </c>
      <c r="N190">
        <f t="shared" si="14"/>
        <v>-0.46268335498364005</v>
      </c>
    </row>
    <row r="191" spans="1:14" x14ac:dyDescent="0.3">
      <c r="A191" s="1">
        <v>43009</v>
      </c>
      <c r="B191">
        <v>2583.209961</v>
      </c>
      <c r="C191">
        <v>12.27</v>
      </c>
      <c r="D191">
        <v>20.16</v>
      </c>
      <c r="E191">
        <v>83.18</v>
      </c>
      <c r="F191">
        <v>50.900002000000001</v>
      </c>
      <c r="G191" s="2">
        <v>1.0900000000000001</v>
      </c>
      <c r="H191" s="2"/>
      <c r="I191" s="1">
        <v>43009</v>
      </c>
      <c r="J191">
        <f t="shared" si="10"/>
        <v>2.4297837302856222</v>
      </c>
      <c r="K191">
        <f t="shared" si="11"/>
        <v>11.034207297582265</v>
      </c>
      <c r="L191">
        <f t="shared" si="12"/>
        <v>9.0833333333333335E-2</v>
      </c>
      <c r="M191">
        <f t="shared" si="13"/>
        <v>2.3389503969522889</v>
      </c>
      <c r="N191">
        <f t="shared" si="14"/>
        <v>10.943373964248931</v>
      </c>
    </row>
    <row r="192" spans="1:14" x14ac:dyDescent="0.3">
      <c r="A192" s="1">
        <v>43040</v>
      </c>
      <c r="B192">
        <v>2645.1000979999999</v>
      </c>
      <c r="C192">
        <v>12.52</v>
      </c>
      <c r="D192">
        <v>18.290001</v>
      </c>
      <c r="E192">
        <v>84.169998000000007</v>
      </c>
      <c r="F192">
        <v>49.060001</v>
      </c>
      <c r="G192" s="2">
        <v>1.25</v>
      </c>
      <c r="H192" s="2"/>
      <c r="I192" s="1">
        <v>43040</v>
      </c>
      <c r="J192">
        <f t="shared" si="10"/>
        <v>2.3676112304107733</v>
      </c>
      <c r="K192">
        <f t="shared" si="11"/>
        <v>1.1831605147283664</v>
      </c>
      <c r="L192">
        <f t="shared" si="12"/>
        <v>0.10416666666666667</v>
      </c>
      <c r="M192">
        <f t="shared" si="13"/>
        <v>2.2634445637441067</v>
      </c>
      <c r="N192">
        <f t="shared" si="14"/>
        <v>1.0789938480616996</v>
      </c>
    </row>
    <row r="193" spans="1:14" x14ac:dyDescent="0.3">
      <c r="A193" s="1">
        <v>43070</v>
      </c>
      <c r="B193">
        <v>2683.7299800000001</v>
      </c>
      <c r="C193">
        <v>12.49</v>
      </c>
      <c r="D193">
        <v>17.450001</v>
      </c>
      <c r="E193">
        <v>85.540001000000004</v>
      </c>
      <c r="F193">
        <v>47.279998999999997</v>
      </c>
      <c r="G193" s="2">
        <v>1.34</v>
      </c>
      <c r="H193" s="2"/>
      <c r="I193" s="1">
        <v>43070</v>
      </c>
      <c r="J193">
        <f t="shared" si="10"/>
        <v>1.4498701643212761</v>
      </c>
      <c r="K193">
        <f t="shared" si="11"/>
        <v>1.6145575027150538</v>
      </c>
      <c r="L193">
        <f t="shared" si="12"/>
        <v>0.11166666666666668</v>
      </c>
      <c r="M193">
        <f t="shared" si="13"/>
        <v>1.3382034976546096</v>
      </c>
      <c r="N193">
        <f t="shared" si="14"/>
        <v>1.5028908360483872</v>
      </c>
    </row>
    <row r="194" spans="1:14" x14ac:dyDescent="0.3">
      <c r="A194" s="1">
        <v>43101</v>
      </c>
      <c r="B194">
        <v>2816.4499510000001</v>
      </c>
      <c r="C194">
        <v>10.97</v>
      </c>
      <c r="D194">
        <v>16.170000000000002</v>
      </c>
      <c r="E194">
        <v>95.010002</v>
      </c>
      <c r="F194">
        <v>51.59</v>
      </c>
      <c r="G194" s="2">
        <v>1.43</v>
      </c>
      <c r="H194" s="2"/>
      <c r="I194" s="1">
        <v>43101</v>
      </c>
      <c r="J194">
        <f t="shared" si="10"/>
        <v>4.8269598795724997</v>
      </c>
      <c r="K194">
        <f t="shared" si="11"/>
        <v>10.499805577987379</v>
      </c>
      <c r="L194">
        <f t="shared" si="12"/>
        <v>0.11916666666666666</v>
      </c>
      <c r="M194">
        <f t="shared" si="13"/>
        <v>4.7077932129058331</v>
      </c>
      <c r="N194">
        <f t="shared" si="14"/>
        <v>10.380638911320712</v>
      </c>
    </row>
    <row r="195" spans="1:14" x14ac:dyDescent="0.3">
      <c r="A195" s="1">
        <v>43132</v>
      </c>
      <c r="B195">
        <v>2715.219971</v>
      </c>
      <c r="C195">
        <v>10.61</v>
      </c>
      <c r="D195">
        <v>14.11</v>
      </c>
      <c r="E195">
        <v>93.769997000000004</v>
      </c>
      <c r="F195">
        <v>50.669998</v>
      </c>
      <c r="G195" s="2">
        <v>1.59</v>
      </c>
      <c r="H195" s="2"/>
      <c r="I195" s="1">
        <v>43132</v>
      </c>
      <c r="J195">
        <f t="shared" si="10"/>
        <v>-3.6604238537473917</v>
      </c>
      <c r="K195">
        <f t="shared" si="11"/>
        <v>-1.313722683071505</v>
      </c>
      <c r="L195">
        <f t="shared" si="12"/>
        <v>0.13250000000000001</v>
      </c>
      <c r="M195">
        <f t="shared" si="13"/>
        <v>-3.7929238537473915</v>
      </c>
      <c r="N195">
        <f t="shared" si="14"/>
        <v>-1.446222683071505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7"/>
  <sheetViews>
    <sheetView workbookViewId="0">
      <selection activeCell="J2" sqref="J2"/>
    </sheetView>
  </sheetViews>
  <sheetFormatPr defaultRowHeight="14.4" x14ac:dyDescent="0.3"/>
  <sheetData>
    <row r="1" spans="1:10" x14ac:dyDescent="0.3">
      <c r="A1" t="s">
        <v>15</v>
      </c>
    </row>
    <row r="2" spans="1:10" ht="16.8" x14ac:dyDescent="0.35">
      <c r="A2" t="s">
        <v>8</v>
      </c>
      <c r="B2" t="s">
        <v>11</v>
      </c>
      <c r="C2" s="3" t="s">
        <v>16</v>
      </c>
      <c r="D2" s="4" t="s">
        <v>17</v>
      </c>
      <c r="F2" t="s">
        <v>18</v>
      </c>
      <c r="I2" t="s">
        <v>19</v>
      </c>
      <c r="J2" s="5">
        <f>SUM(C3:C242)</f>
        <v>8831.4358131990175</v>
      </c>
    </row>
    <row r="3" spans="1:10" x14ac:dyDescent="0.3">
      <c r="A3">
        <v>-2.2451528057930092</v>
      </c>
      <c r="B3">
        <v>-8.9520238355488022</v>
      </c>
      <c r="C3">
        <f>(B3-$G$3-$G$4*A3)^2</f>
        <v>80.138730752233883</v>
      </c>
      <c r="D3">
        <f>$G$3+$G$4*A3</f>
        <v>0</v>
      </c>
      <c r="F3" s="5" t="s">
        <v>12</v>
      </c>
      <c r="G3" s="5">
        <v>0</v>
      </c>
    </row>
    <row r="4" spans="1:10" x14ac:dyDescent="0.3">
      <c r="A4">
        <v>3.4555107397161984</v>
      </c>
      <c r="B4">
        <v>3.1684996185315768</v>
      </c>
      <c r="C4">
        <f t="shared" ref="C4:C67" si="0">(B4-$G$3-$G$4*A4)^2</f>
        <v>10.039389832634747</v>
      </c>
      <c r="D4">
        <f t="shared" ref="D4:D67" si="1">$G$3+$G$4*A4</f>
        <v>0</v>
      </c>
      <c r="F4" s="5" t="s">
        <v>13</v>
      </c>
      <c r="G4" s="5">
        <v>0</v>
      </c>
    </row>
    <row r="5" spans="1:10" x14ac:dyDescent="0.3">
      <c r="A5">
        <v>-6.4842988333636589</v>
      </c>
      <c r="B5">
        <v>-14.472507213594621</v>
      </c>
      <c r="C5">
        <f t="shared" si="0"/>
        <v>209.45346504754835</v>
      </c>
      <c r="D5">
        <f t="shared" si="1"/>
        <v>0</v>
      </c>
    </row>
    <row r="6" spans="1:10" x14ac:dyDescent="0.3">
      <c r="A6">
        <v>-1.0589635764789014</v>
      </c>
      <c r="B6">
        <v>-2.7638520574700318</v>
      </c>
      <c r="C6">
        <f t="shared" si="0"/>
        <v>7.6388781955813281</v>
      </c>
      <c r="D6">
        <f t="shared" si="1"/>
        <v>0</v>
      </c>
      <c r="F6" s="6" t="s">
        <v>20</v>
      </c>
    </row>
    <row r="7" spans="1:10" x14ac:dyDescent="0.3">
      <c r="A7">
        <v>-7.6656016926842243</v>
      </c>
      <c r="B7">
        <v>7.0362674847024431</v>
      </c>
      <c r="C7">
        <f t="shared" si="0"/>
        <v>49.509060116280843</v>
      </c>
      <c r="D7">
        <f t="shared" si="1"/>
        <v>0</v>
      </c>
      <c r="F7" t="s">
        <v>21</v>
      </c>
      <c r="G7">
        <f>VARP(B3:B242)*COUNT(B3:B242)</f>
        <v>8791.2802440216838</v>
      </c>
      <c r="H7" s="7" t="s">
        <v>27</v>
      </c>
    </row>
    <row r="8" spans="1:10" x14ac:dyDescent="0.3">
      <c r="A8">
        <v>-8.3724884394633428</v>
      </c>
      <c r="B8">
        <v>-13.250445201638707</v>
      </c>
      <c r="C8">
        <f t="shared" si="0"/>
        <v>175.57429804163021</v>
      </c>
      <c r="D8">
        <f t="shared" si="1"/>
        <v>0</v>
      </c>
      <c r="F8" t="s">
        <v>22</v>
      </c>
      <c r="G8">
        <f>G4*COVAR(B3:B242,A3:A242)*COUNT(C3:C242)</f>
        <v>0</v>
      </c>
      <c r="H8" s="7" t="s">
        <v>28</v>
      </c>
    </row>
    <row r="9" spans="1:10" x14ac:dyDescent="0.3">
      <c r="A9">
        <v>0.34945575163946452</v>
      </c>
      <c r="B9">
        <v>2.1292403180957695</v>
      </c>
      <c r="C9">
        <f t="shared" si="0"/>
        <v>4.533664332204574</v>
      </c>
      <c r="D9">
        <f t="shared" si="1"/>
        <v>0</v>
      </c>
      <c r="F9" t="s">
        <v>23</v>
      </c>
      <c r="G9">
        <f>G7-G8</f>
        <v>8791.2802440216838</v>
      </c>
      <c r="H9" s="7" t="s">
        <v>24</v>
      </c>
    </row>
    <row r="10" spans="1:10" ht="16.2" x14ac:dyDescent="0.3">
      <c r="A10">
        <v>-11.794447385193637</v>
      </c>
      <c r="B10">
        <v>-11.657193295248176</v>
      </c>
      <c r="C10">
        <f t="shared" si="0"/>
        <v>135.89015552277903</v>
      </c>
      <c r="D10">
        <f t="shared" si="1"/>
        <v>0</v>
      </c>
      <c r="F10" t="s">
        <v>25</v>
      </c>
      <c r="G10" s="8">
        <f>G8/G7</f>
        <v>0</v>
      </c>
      <c r="H10" s="7" t="s">
        <v>26</v>
      </c>
    </row>
    <row r="11" spans="1:10" x14ac:dyDescent="0.3">
      <c r="A11">
        <v>8.1572730081229423</v>
      </c>
      <c r="B11">
        <v>19.951605872476694</v>
      </c>
      <c r="C11">
        <f t="shared" si="0"/>
        <v>398.0665768906465</v>
      </c>
      <c r="D11">
        <f t="shared" si="1"/>
        <v>0</v>
      </c>
    </row>
    <row r="12" spans="1:10" x14ac:dyDescent="0.3">
      <c r="A12">
        <v>5.4458904583661161</v>
      </c>
      <c r="B12">
        <v>7.4748039945235609</v>
      </c>
      <c r="C12">
        <f t="shared" si="0"/>
        <v>55.872694756545386</v>
      </c>
      <c r="D12">
        <f t="shared" si="1"/>
        <v>0</v>
      </c>
    </row>
    <row r="13" spans="1:10" x14ac:dyDescent="0.3">
      <c r="A13">
        <v>-6.3237600370991265</v>
      </c>
      <c r="B13">
        <v>-11.046104479564349</v>
      </c>
      <c r="C13">
        <f t="shared" si="0"/>
        <v>122.01642417345157</v>
      </c>
      <c r="D13">
        <f t="shared" si="1"/>
        <v>0</v>
      </c>
    </row>
    <row r="14" spans="1:10" x14ac:dyDescent="0.3">
      <c r="A14">
        <v>-2.8789154270656181</v>
      </c>
      <c r="B14">
        <v>-8.6562197173432605</v>
      </c>
      <c r="C14">
        <f t="shared" si="0"/>
        <v>74.930139794922241</v>
      </c>
      <c r="D14">
        <f t="shared" si="1"/>
        <v>0</v>
      </c>
    </row>
    <row r="15" spans="1:10" x14ac:dyDescent="0.3">
      <c r="A15">
        <v>-1.8141496416746652</v>
      </c>
      <c r="B15">
        <v>-0.22566467791614686</v>
      </c>
      <c r="C15">
        <f t="shared" si="0"/>
        <v>5.0924546858998304E-2</v>
      </c>
      <c r="D15">
        <f t="shared" si="1"/>
        <v>0</v>
      </c>
    </row>
    <row r="16" spans="1:10" x14ac:dyDescent="0.3">
      <c r="A16">
        <v>0.7364504134164972</v>
      </c>
      <c r="B16">
        <v>2.0332305976209692</v>
      </c>
      <c r="C16">
        <f t="shared" si="0"/>
        <v>4.1340266631021239</v>
      </c>
      <c r="D16">
        <f t="shared" si="1"/>
        <v>0</v>
      </c>
    </row>
    <row r="17" spans="1:4" x14ac:dyDescent="0.3">
      <c r="A17">
        <v>7.6969006408777778</v>
      </c>
      <c r="B17">
        <v>5.3695726325041431</v>
      </c>
      <c r="C17">
        <f t="shared" si="0"/>
        <v>28.832310255737472</v>
      </c>
      <c r="D17">
        <f t="shared" si="1"/>
        <v>0</v>
      </c>
    </row>
    <row r="18" spans="1:4" x14ac:dyDescent="0.3">
      <c r="A18">
        <v>4.8737378716500857</v>
      </c>
      <c r="B18">
        <v>-3.91752175995763</v>
      </c>
      <c r="C18">
        <f t="shared" si="0"/>
        <v>15.346976739741526</v>
      </c>
      <c r="D18">
        <f t="shared" si="1"/>
        <v>0</v>
      </c>
    </row>
    <row r="19" spans="1:4" x14ac:dyDescent="0.3">
      <c r="A19">
        <v>1.0475264657303327</v>
      </c>
      <c r="B19">
        <v>4.0217354680722712</v>
      </c>
      <c r="C19">
        <f t="shared" si="0"/>
        <v>16.174356175150489</v>
      </c>
      <c r="D19">
        <f t="shared" si="1"/>
        <v>0</v>
      </c>
    </row>
    <row r="20" spans="1:4" x14ac:dyDescent="0.3">
      <c r="A20">
        <v>1.5326837792537389</v>
      </c>
      <c r="B20">
        <v>2.8822466591465674</v>
      </c>
      <c r="C20">
        <f t="shared" si="0"/>
        <v>8.3073458041615496</v>
      </c>
      <c r="D20">
        <f t="shared" si="1"/>
        <v>0</v>
      </c>
    </row>
    <row r="21" spans="1:4" x14ac:dyDescent="0.3">
      <c r="A21">
        <v>1.6907022397408966</v>
      </c>
      <c r="B21">
        <v>0.33481056752875621</v>
      </c>
      <c r="C21">
        <f t="shared" si="0"/>
        <v>0.11209811612892782</v>
      </c>
      <c r="D21">
        <f t="shared" si="1"/>
        <v>0</v>
      </c>
    </row>
    <row r="22" spans="1:4" x14ac:dyDescent="0.3">
      <c r="A22">
        <v>-1.2816271605865484</v>
      </c>
      <c r="B22">
        <v>4.6336819407705896</v>
      </c>
      <c r="C22">
        <f t="shared" si="0"/>
        <v>21.471008328223498</v>
      </c>
      <c r="D22">
        <f t="shared" si="1"/>
        <v>0</v>
      </c>
    </row>
    <row r="23" spans="1:4" x14ac:dyDescent="0.3">
      <c r="A23">
        <v>5.2720927131197364</v>
      </c>
      <c r="B23">
        <v>-6.2352648118172915</v>
      </c>
      <c r="C23">
        <f t="shared" si="0"/>
        <v>38.878527273486924</v>
      </c>
      <c r="D23">
        <f t="shared" si="1"/>
        <v>0</v>
      </c>
    </row>
    <row r="24" spans="1:4" x14ac:dyDescent="0.3">
      <c r="A24">
        <v>0.63115495020902768</v>
      </c>
      <c r="B24">
        <v>-1.7378354224768806</v>
      </c>
      <c r="C24">
        <f t="shared" si="0"/>
        <v>3.0200719556153981</v>
      </c>
      <c r="D24">
        <f t="shared" si="1"/>
        <v>0</v>
      </c>
    </row>
    <row r="25" spans="1:4" x14ac:dyDescent="0.3">
      <c r="A25">
        <v>4.8760651849376648</v>
      </c>
      <c r="B25">
        <v>6.1809243873181412</v>
      </c>
      <c r="C25">
        <f t="shared" si="0"/>
        <v>38.203826281744142</v>
      </c>
      <c r="D25">
        <f t="shared" si="1"/>
        <v>0</v>
      </c>
    </row>
    <row r="26" spans="1:4" x14ac:dyDescent="0.3">
      <c r="A26">
        <v>1.6378847112134101</v>
      </c>
      <c r="B26">
        <v>0.94281683794031856</v>
      </c>
      <c r="C26">
        <f t="shared" si="0"/>
        <v>0.88890358990378093</v>
      </c>
      <c r="D26">
        <f t="shared" si="1"/>
        <v>0</v>
      </c>
    </row>
    <row r="27" spans="1:4" x14ac:dyDescent="0.3">
      <c r="A27">
        <v>1.1351711544348333</v>
      </c>
      <c r="B27">
        <v>-4.2132855458852063</v>
      </c>
      <c r="C27">
        <f t="shared" si="0"/>
        <v>17.7517750911652</v>
      </c>
      <c r="D27">
        <f t="shared" si="1"/>
        <v>0</v>
      </c>
    </row>
    <row r="28" spans="1:4" x14ac:dyDescent="0.3">
      <c r="A28">
        <v>-1.728587043499126</v>
      </c>
      <c r="B28">
        <v>-6.2995974974025204</v>
      </c>
      <c r="C28">
        <f t="shared" si="0"/>
        <v>39.684928629280101</v>
      </c>
      <c r="D28">
        <f t="shared" si="1"/>
        <v>0</v>
      </c>
    </row>
    <row r="29" spans="1:4" x14ac:dyDescent="0.3">
      <c r="A29">
        <v>-1.7733314613340048</v>
      </c>
      <c r="B29">
        <v>4.6212143726866337</v>
      </c>
      <c r="C29">
        <f t="shared" si="0"/>
        <v>21.355622278325516</v>
      </c>
      <c r="D29">
        <f t="shared" si="1"/>
        <v>0</v>
      </c>
    </row>
    <row r="30" spans="1:4" x14ac:dyDescent="0.3">
      <c r="A30">
        <v>1.1144361472144231</v>
      </c>
      <c r="B30">
        <v>0.29530859497826945</v>
      </c>
      <c r="C30">
        <f t="shared" si="0"/>
        <v>8.7207166268039579E-2</v>
      </c>
      <c r="D30">
        <f t="shared" si="1"/>
        <v>0</v>
      </c>
    </row>
    <row r="31" spans="1:4" x14ac:dyDescent="0.3">
      <c r="A31">
        <v>1.6754111261681308</v>
      </c>
      <c r="B31">
        <v>8.4028308578595112</v>
      </c>
      <c r="C31">
        <f t="shared" si="0"/>
        <v>70.607566425796009</v>
      </c>
      <c r="D31">
        <f t="shared" si="1"/>
        <v>0</v>
      </c>
    </row>
    <row r="32" spans="1:4" x14ac:dyDescent="0.3">
      <c r="A32">
        <v>-3.6025568068539666</v>
      </c>
      <c r="B32">
        <v>-0.35872872808938855</v>
      </c>
      <c r="C32">
        <f t="shared" si="0"/>
        <v>0.12868630035663048</v>
      </c>
      <c r="D32">
        <f t="shared" si="1"/>
        <v>0</v>
      </c>
    </row>
    <row r="33" spans="1:4" x14ac:dyDescent="0.3">
      <c r="A33">
        <v>0.10347378381895284</v>
      </c>
      <c r="B33">
        <v>-4.3916482948940132</v>
      </c>
      <c r="C33">
        <f t="shared" si="0"/>
        <v>19.286574746045492</v>
      </c>
      <c r="D33">
        <f t="shared" si="1"/>
        <v>0</v>
      </c>
    </row>
    <row r="34" spans="1:4" x14ac:dyDescent="0.3">
      <c r="A34">
        <v>0.79203063814545882</v>
      </c>
      <c r="B34">
        <v>1.1339062407466964</v>
      </c>
      <c r="C34">
        <f t="shared" si="0"/>
        <v>1.2857433628043051</v>
      </c>
      <c r="D34">
        <f t="shared" si="1"/>
        <v>0</v>
      </c>
    </row>
    <row r="35" spans="1:4" x14ac:dyDescent="0.3">
      <c r="A35">
        <v>1.2425285333141876</v>
      </c>
      <c r="B35">
        <v>1.0015076826265226</v>
      </c>
      <c r="C35">
        <f t="shared" si="0"/>
        <v>1.0030176383599474</v>
      </c>
      <c r="D35">
        <f t="shared" si="1"/>
        <v>0</v>
      </c>
    </row>
    <row r="36" spans="1:4" x14ac:dyDescent="0.3">
      <c r="A36">
        <v>3.607643683386204</v>
      </c>
      <c r="B36">
        <v>-4.4115889846256886</v>
      </c>
      <c r="C36">
        <f t="shared" si="0"/>
        <v>19.462117369270715</v>
      </c>
      <c r="D36">
        <f t="shared" si="1"/>
        <v>0</v>
      </c>
    </row>
    <row r="37" spans="1:4" x14ac:dyDescent="0.3">
      <c r="A37">
        <v>3.0126580148315178</v>
      </c>
      <c r="B37">
        <v>-0.52126037050575569</v>
      </c>
      <c r="C37">
        <f t="shared" si="0"/>
        <v>0.27171237385979768</v>
      </c>
      <c r="D37">
        <f t="shared" si="1"/>
        <v>0</v>
      </c>
    </row>
    <row r="38" spans="1:4" x14ac:dyDescent="0.3">
      <c r="A38">
        <v>-2.7590767343611891</v>
      </c>
      <c r="B38">
        <v>-1.8579079575135271</v>
      </c>
      <c r="C38">
        <f t="shared" si="0"/>
        <v>3.4518219785920858</v>
      </c>
      <c r="D38">
        <f t="shared" si="1"/>
        <v>0</v>
      </c>
    </row>
    <row r="39" spans="1:4" x14ac:dyDescent="0.3">
      <c r="A39">
        <v>1.657689800322802</v>
      </c>
      <c r="B39">
        <v>-4.570279983591961</v>
      </c>
      <c r="C39">
        <f t="shared" si="0"/>
        <v>20.887459128421334</v>
      </c>
      <c r="D39">
        <f t="shared" si="1"/>
        <v>0</v>
      </c>
    </row>
    <row r="40" spans="1:4" x14ac:dyDescent="0.3">
      <c r="A40">
        <v>-2.1636094446842411</v>
      </c>
      <c r="B40">
        <v>-4.2476570450181406</v>
      </c>
      <c r="C40">
        <f t="shared" si="0"/>
        <v>18.042590372092242</v>
      </c>
      <c r="D40">
        <f t="shared" si="1"/>
        <v>0</v>
      </c>
    </row>
    <row r="41" spans="1:4" x14ac:dyDescent="0.3">
      <c r="A41">
        <v>-2.2680177961168311</v>
      </c>
      <c r="B41">
        <v>4.3325494825723636</v>
      </c>
      <c r="C41">
        <f t="shared" si="0"/>
        <v>18.770985018938056</v>
      </c>
      <c r="D41">
        <f t="shared" si="1"/>
        <v>0</v>
      </c>
    </row>
    <row r="42" spans="1:4" x14ac:dyDescent="0.3">
      <c r="A42">
        <v>2.7095577464430542</v>
      </c>
      <c r="B42">
        <v>1.7153430293432297</v>
      </c>
      <c r="C42">
        <f t="shared" si="0"/>
        <v>2.942401708316408</v>
      </c>
      <c r="D42">
        <f t="shared" si="1"/>
        <v>0</v>
      </c>
    </row>
    <row r="43" spans="1:4" x14ac:dyDescent="0.3">
      <c r="A43">
        <v>-0.26760577437432975</v>
      </c>
      <c r="B43">
        <v>-4.0452529435936393</v>
      </c>
      <c r="C43">
        <f t="shared" si="0"/>
        <v>16.364071377653005</v>
      </c>
      <c r="D43">
        <f t="shared" si="1"/>
        <v>0</v>
      </c>
    </row>
    <row r="44" spans="1:4" x14ac:dyDescent="0.3">
      <c r="A44">
        <v>3.2594865885320532</v>
      </c>
      <c r="B44">
        <v>2.7786015526735559</v>
      </c>
      <c r="C44">
        <f t="shared" si="0"/>
        <v>7.7206265885198953</v>
      </c>
      <c r="D44">
        <f t="shared" si="1"/>
        <v>0</v>
      </c>
    </row>
    <row r="45" spans="1:4" x14ac:dyDescent="0.3">
      <c r="A45">
        <v>-1.4218881115260396</v>
      </c>
      <c r="B45">
        <v>6.389651074527908</v>
      </c>
      <c r="C45">
        <f t="shared" si="0"/>
        <v>40.827640854215652</v>
      </c>
      <c r="D45">
        <f t="shared" si="1"/>
        <v>0</v>
      </c>
    </row>
    <row r="46" spans="1:4" x14ac:dyDescent="0.3">
      <c r="A46">
        <v>0.4016658163277988</v>
      </c>
      <c r="B46">
        <v>-6.506349037697321</v>
      </c>
      <c r="C46">
        <f t="shared" si="0"/>
        <v>42.332577800344858</v>
      </c>
      <c r="D46">
        <f t="shared" si="1"/>
        <v>0</v>
      </c>
    </row>
    <row r="47" spans="1:4" x14ac:dyDescent="0.3">
      <c r="A47">
        <v>-2.1058367376102862</v>
      </c>
      <c r="B47">
        <v>-0.43249288153069476</v>
      </c>
      <c r="C47">
        <f t="shared" si="0"/>
        <v>0.18705009257472358</v>
      </c>
      <c r="D47">
        <f t="shared" si="1"/>
        <v>0</v>
      </c>
    </row>
    <row r="48" spans="1:4" x14ac:dyDescent="0.3">
      <c r="A48">
        <v>3.1272880052061129</v>
      </c>
      <c r="B48">
        <v>7.0910766604456201</v>
      </c>
      <c r="C48">
        <f t="shared" si="0"/>
        <v>50.283368204316609</v>
      </c>
      <c r="D48">
        <f t="shared" si="1"/>
        <v>0</v>
      </c>
    </row>
    <row r="49" spans="1:4" x14ac:dyDescent="0.3">
      <c r="A49">
        <v>-0.42611360981761698</v>
      </c>
      <c r="B49">
        <v>-6.016927357187023</v>
      </c>
      <c r="C49">
        <f t="shared" si="0"/>
        <v>36.203414821665611</v>
      </c>
      <c r="D49">
        <f t="shared" si="1"/>
        <v>0</v>
      </c>
    </row>
    <row r="50" spans="1:4" x14ac:dyDescent="0.3">
      <c r="A50">
        <v>2.1531228948259686</v>
      </c>
      <c r="B50">
        <v>7.0081497408100804</v>
      </c>
      <c r="C50">
        <f t="shared" si="0"/>
        <v>49.114162789616394</v>
      </c>
      <c r="D50">
        <f t="shared" si="1"/>
        <v>0</v>
      </c>
    </row>
    <row r="51" spans="1:4" x14ac:dyDescent="0.3">
      <c r="A51">
        <v>-0.33302783475186987</v>
      </c>
      <c r="B51">
        <v>-5.0320228075407245</v>
      </c>
      <c r="C51">
        <f t="shared" si="0"/>
        <v>25.321253535610037</v>
      </c>
      <c r="D51">
        <f t="shared" si="1"/>
        <v>0</v>
      </c>
    </row>
    <row r="52" spans="1:4" x14ac:dyDescent="0.3">
      <c r="A52">
        <v>1.3343272649558273</v>
      </c>
      <c r="B52">
        <v>0.87157228670010789</v>
      </c>
      <c r="C52">
        <f t="shared" si="0"/>
        <v>0.75963825094365511</v>
      </c>
      <c r="D52">
        <f t="shared" si="1"/>
        <v>0</v>
      </c>
    </row>
    <row r="53" spans="1:4" x14ac:dyDescent="0.3">
      <c r="A53">
        <v>0.19821303345158603</v>
      </c>
      <c r="B53">
        <v>-12.323346927871153</v>
      </c>
      <c r="C53">
        <f t="shared" si="0"/>
        <v>151.86487950467139</v>
      </c>
      <c r="D53">
        <f t="shared" si="1"/>
        <v>0</v>
      </c>
    </row>
    <row r="54" spans="1:4" x14ac:dyDescent="0.3">
      <c r="A54">
        <v>-3.5469691220102275</v>
      </c>
      <c r="B54">
        <v>-6.8157861502872006</v>
      </c>
      <c r="C54">
        <f t="shared" si="0"/>
        <v>46.454940846446817</v>
      </c>
      <c r="D54">
        <f t="shared" si="1"/>
        <v>0</v>
      </c>
    </row>
    <row r="55" spans="1:4" x14ac:dyDescent="0.3">
      <c r="A55">
        <v>-0.4092118451898164</v>
      </c>
      <c r="B55">
        <v>2.419346572415606</v>
      </c>
      <c r="C55">
        <f t="shared" si="0"/>
        <v>5.8532378374591412</v>
      </c>
      <c r="D55">
        <f t="shared" si="1"/>
        <v>0</v>
      </c>
    </row>
    <row r="56" spans="1:4" x14ac:dyDescent="0.3">
      <c r="A56">
        <v>0.24134799172975918</v>
      </c>
      <c r="B56">
        <v>2.786401799723992</v>
      </c>
      <c r="C56">
        <f t="shared" si="0"/>
        <v>7.7640349895051015</v>
      </c>
      <c r="D56">
        <f t="shared" si="1"/>
        <v>0</v>
      </c>
    </row>
    <row r="57" spans="1:4" x14ac:dyDescent="0.3">
      <c r="A57">
        <v>1.5330445269936668</v>
      </c>
      <c r="B57">
        <v>6.1698695161240238</v>
      </c>
      <c r="C57">
        <f t="shared" si="0"/>
        <v>38.067289845996498</v>
      </c>
      <c r="D57">
        <f t="shared" si="1"/>
        <v>0</v>
      </c>
    </row>
    <row r="58" spans="1:4" x14ac:dyDescent="0.3">
      <c r="A58">
        <v>2.015384664986283</v>
      </c>
      <c r="B58">
        <v>5.811716472297781</v>
      </c>
      <c r="C58">
        <f t="shared" si="0"/>
        <v>33.776048354377366</v>
      </c>
      <c r="D58">
        <f t="shared" si="1"/>
        <v>0</v>
      </c>
    </row>
    <row r="59" spans="1:4" x14ac:dyDescent="0.3">
      <c r="A59">
        <v>2.670537081659428</v>
      </c>
      <c r="B59">
        <v>4.4320597100579135</v>
      </c>
      <c r="C59">
        <f t="shared" si="0"/>
        <v>19.643153273518635</v>
      </c>
      <c r="D59">
        <f t="shared" si="1"/>
        <v>0</v>
      </c>
    </row>
    <row r="60" spans="1:4" x14ac:dyDescent="0.3">
      <c r="A60">
        <v>1.223813974752376</v>
      </c>
      <c r="B60">
        <v>1.8162778504357189</v>
      </c>
      <c r="C60">
        <f t="shared" si="0"/>
        <v>3.2988652299833956</v>
      </c>
      <c r="D60">
        <f t="shared" si="1"/>
        <v>0</v>
      </c>
    </row>
    <row r="61" spans="1:4" x14ac:dyDescent="0.3">
      <c r="A61">
        <v>0.82047992575126694</v>
      </c>
      <c r="B61">
        <v>1.2744921127735638</v>
      </c>
      <c r="C61">
        <f t="shared" si="0"/>
        <v>1.6243301455220225</v>
      </c>
      <c r="D61">
        <f t="shared" si="1"/>
        <v>0</v>
      </c>
    </row>
    <row r="62" spans="1:4" x14ac:dyDescent="0.3">
      <c r="A62">
        <v>0.96567943136534073</v>
      </c>
      <c r="B62">
        <v>2.8682720405425886</v>
      </c>
      <c r="C62">
        <f t="shared" si="0"/>
        <v>8.2269844985583447</v>
      </c>
      <c r="D62">
        <f t="shared" si="1"/>
        <v>0</v>
      </c>
    </row>
    <row r="63" spans="1:4" x14ac:dyDescent="0.3">
      <c r="A63">
        <v>-2.6166076094054453</v>
      </c>
      <c r="B63">
        <v>-9.5503297451140003</v>
      </c>
      <c r="C63">
        <f t="shared" si="0"/>
        <v>91.208798240409251</v>
      </c>
      <c r="D63">
        <f t="shared" si="1"/>
        <v>0</v>
      </c>
    </row>
    <row r="64" spans="1:4" x14ac:dyDescent="0.3">
      <c r="A64">
        <v>0.56901871480579769</v>
      </c>
      <c r="B64">
        <v>-1.4940037846882994</v>
      </c>
      <c r="C64">
        <f t="shared" si="0"/>
        <v>2.2320473086629624</v>
      </c>
      <c r="D64">
        <f t="shared" si="1"/>
        <v>0</v>
      </c>
    </row>
    <row r="65" spans="1:4" x14ac:dyDescent="0.3">
      <c r="A65">
        <v>3.8225978028573926</v>
      </c>
      <c r="B65">
        <v>6.7469535016883686</v>
      </c>
      <c r="C65">
        <f t="shared" si="0"/>
        <v>45.521381553944941</v>
      </c>
      <c r="D65">
        <f t="shared" si="1"/>
        <v>0</v>
      </c>
    </row>
    <row r="66" spans="1:4" x14ac:dyDescent="0.3">
      <c r="A66">
        <v>2.7972390521054975</v>
      </c>
      <c r="B66">
        <v>2.0683155490599168</v>
      </c>
      <c r="C66">
        <f t="shared" si="0"/>
        <v>4.2779292104830251</v>
      </c>
      <c r="D66">
        <f t="shared" si="1"/>
        <v>0</v>
      </c>
    </row>
    <row r="67" spans="1:4" x14ac:dyDescent="0.3">
      <c r="A67">
        <v>-2.1055897159147681</v>
      </c>
      <c r="B67">
        <v>-4.4514138398758032</v>
      </c>
      <c r="C67">
        <f t="shared" si="0"/>
        <v>19.815085173837844</v>
      </c>
      <c r="D67">
        <f t="shared" si="1"/>
        <v>0</v>
      </c>
    </row>
    <row r="68" spans="1:4" x14ac:dyDescent="0.3">
      <c r="A68">
        <v>-3.7570673566194746</v>
      </c>
      <c r="B68">
        <v>-2.0555153216559088</v>
      </c>
      <c r="C68">
        <f t="shared" ref="C68:C131" si="2">(B68-$G$3-$G$4*A68)^2</f>
        <v>4.225143237562194</v>
      </c>
      <c r="D68">
        <f t="shared" ref="D68:D131" si="3">$G$3+$G$4*A68</f>
        <v>0</v>
      </c>
    </row>
    <row r="69" spans="1:4" x14ac:dyDescent="0.3">
      <c r="A69">
        <v>0.92229884766760772</v>
      </c>
      <c r="B69">
        <v>-1.2609069942365858</v>
      </c>
      <c r="C69">
        <f t="shared" si="2"/>
        <v>1.5898864481147414</v>
      </c>
      <c r="D69">
        <f t="shared" si="3"/>
        <v>0</v>
      </c>
    </row>
    <row r="70" spans="1:4" x14ac:dyDescent="0.3">
      <c r="A70">
        <v>3.2217318708593403</v>
      </c>
      <c r="B70">
        <v>2.1766504098954211</v>
      </c>
      <c r="C70">
        <f t="shared" si="2"/>
        <v>4.7378070068979046</v>
      </c>
      <c r="D70">
        <f t="shared" si="3"/>
        <v>0</v>
      </c>
    </row>
    <row r="71" spans="1:4" x14ac:dyDescent="0.3">
      <c r="A71">
        <v>0.87068498178757969</v>
      </c>
      <c r="B71">
        <v>21.940286413397452</v>
      </c>
      <c r="C71">
        <f t="shared" si="2"/>
        <v>481.37616790191282</v>
      </c>
      <c r="D71">
        <f t="shared" si="3"/>
        <v>0</v>
      </c>
    </row>
    <row r="72" spans="1:4" x14ac:dyDescent="0.3">
      <c r="A72">
        <v>-4.6534738523963357</v>
      </c>
      <c r="B72">
        <v>-9.4035233778779688</v>
      </c>
      <c r="C72">
        <f t="shared" si="2"/>
        <v>88.426251918297481</v>
      </c>
      <c r="D72">
        <f t="shared" si="3"/>
        <v>0</v>
      </c>
    </row>
    <row r="73" spans="1:4" x14ac:dyDescent="0.3">
      <c r="A73">
        <v>-1.0469918972339078</v>
      </c>
      <c r="B73">
        <v>5.5261240899527282</v>
      </c>
      <c r="C73">
        <f t="shared" si="2"/>
        <v>30.538047457555869</v>
      </c>
      <c r="D73">
        <f t="shared" si="3"/>
        <v>0</v>
      </c>
    </row>
    <row r="74" spans="1:4" x14ac:dyDescent="0.3">
      <c r="A74">
        <v>-6.5162000200583305</v>
      </c>
      <c r="B74">
        <v>-9.0383354655241064</v>
      </c>
      <c r="C74">
        <f t="shared" si="2"/>
        <v>81.69150798735086</v>
      </c>
      <c r="D74">
        <f t="shared" si="3"/>
        <v>0</v>
      </c>
    </row>
    <row r="75" spans="1:4" x14ac:dyDescent="0.3">
      <c r="A75">
        <v>-3.7359613351156948</v>
      </c>
      <c r="B75">
        <v>-18.290355028964331</v>
      </c>
      <c r="C75">
        <f t="shared" si="2"/>
        <v>334.53708708556081</v>
      </c>
      <c r="D75">
        <f t="shared" si="3"/>
        <v>0</v>
      </c>
    </row>
    <row r="76" spans="1:4" x14ac:dyDescent="0.3">
      <c r="A76">
        <v>-0.41077905018582495</v>
      </c>
      <c r="B76">
        <v>4.1400959762490723</v>
      </c>
      <c r="C76">
        <f t="shared" si="2"/>
        <v>17.140394692553759</v>
      </c>
      <c r="D76">
        <f t="shared" si="3"/>
        <v>0</v>
      </c>
    </row>
    <row r="77" spans="1:4" x14ac:dyDescent="0.3">
      <c r="A77">
        <v>4.283249771373538</v>
      </c>
      <c r="B77">
        <v>0.38292923836141401</v>
      </c>
      <c r="C77">
        <f t="shared" si="2"/>
        <v>0.14663480159205264</v>
      </c>
      <c r="D77">
        <f t="shared" si="3"/>
        <v>0</v>
      </c>
    </row>
    <row r="78" spans="1:4" x14ac:dyDescent="0.3">
      <c r="A78">
        <v>0.83338663794822421</v>
      </c>
      <c r="B78">
        <v>-0.85039933872428697</v>
      </c>
      <c r="C78">
        <f t="shared" si="2"/>
        <v>0.72317903530270455</v>
      </c>
      <c r="D78">
        <f t="shared" si="3"/>
        <v>0</v>
      </c>
    </row>
    <row r="79" spans="1:4" x14ac:dyDescent="0.3">
      <c r="A79">
        <v>-9.3505022727410925</v>
      </c>
      <c r="B79">
        <v>-3.059369388903582</v>
      </c>
      <c r="C79">
        <f t="shared" si="2"/>
        <v>9.3597410577602762</v>
      </c>
      <c r="D79">
        <f t="shared" si="3"/>
        <v>0</v>
      </c>
    </row>
    <row r="80" spans="1:4" x14ac:dyDescent="0.3">
      <c r="A80">
        <v>-0.70939403372644472</v>
      </c>
      <c r="B80">
        <v>-6.8664047780647488</v>
      </c>
      <c r="C80">
        <f t="shared" si="2"/>
        <v>47.147514576230414</v>
      </c>
      <c r="D80">
        <f t="shared" si="3"/>
        <v>0</v>
      </c>
    </row>
    <row r="81" spans="1:4" x14ac:dyDescent="0.3">
      <c r="A81">
        <v>1.2940125991418758</v>
      </c>
      <c r="B81">
        <v>5.7793177541203091</v>
      </c>
      <c r="C81">
        <f t="shared" si="2"/>
        <v>33.400513703090212</v>
      </c>
      <c r="D81">
        <f t="shared" si="3"/>
        <v>0</v>
      </c>
    </row>
    <row r="82" spans="1:4" x14ac:dyDescent="0.3">
      <c r="A82">
        <v>-10.190850601033652</v>
      </c>
      <c r="B82">
        <v>-2.3189703813390654</v>
      </c>
      <c r="C82">
        <f t="shared" si="2"/>
        <v>5.3776236295278501</v>
      </c>
      <c r="D82">
        <f t="shared" si="3"/>
        <v>0</v>
      </c>
    </row>
    <row r="83" spans="1:4" x14ac:dyDescent="0.3">
      <c r="A83">
        <v>-18.441472446993874</v>
      </c>
      <c r="B83">
        <v>-17.893293503158173</v>
      </c>
      <c r="C83">
        <f t="shared" si="2"/>
        <v>320.16995239016245</v>
      </c>
      <c r="D83">
        <f t="shared" si="3"/>
        <v>0</v>
      </c>
    </row>
    <row r="84" spans="1:4" x14ac:dyDescent="0.3">
      <c r="A84">
        <v>-8.6423885180294473</v>
      </c>
      <c r="B84">
        <v>-9.9417235049059673</v>
      </c>
      <c r="C84">
        <f t="shared" si="2"/>
        <v>98.837866247999798</v>
      </c>
      <c r="D84">
        <f t="shared" si="3"/>
        <v>0</v>
      </c>
    </row>
    <row r="85" spans="1:4" x14ac:dyDescent="0.3">
      <c r="A85">
        <v>1.6028040868597004</v>
      </c>
      <c r="B85">
        <v>-3.9364313663719233</v>
      </c>
      <c r="C85">
        <f t="shared" si="2"/>
        <v>15.495491902156727</v>
      </c>
      <c r="D85">
        <f t="shared" si="3"/>
        <v>0</v>
      </c>
    </row>
    <row r="86" spans="1:4" x14ac:dyDescent="0.3">
      <c r="A86">
        <v>-9.2754217901624756</v>
      </c>
      <c r="B86">
        <v>-12.836272029733999</v>
      </c>
      <c r="C86">
        <f t="shared" si="2"/>
        <v>164.7698796213314</v>
      </c>
      <c r="D86">
        <f t="shared" si="3"/>
        <v>0</v>
      </c>
    </row>
    <row r="87" spans="1:4" x14ac:dyDescent="0.3">
      <c r="A87">
        <v>-12.08602544275578</v>
      </c>
      <c r="B87">
        <v>-5.7408413839948755</v>
      </c>
      <c r="C87">
        <f t="shared" si="2"/>
        <v>32.957259796188197</v>
      </c>
      <c r="D87">
        <f t="shared" si="3"/>
        <v>0</v>
      </c>
    </row>
    <row r="88" spans="1:4" x14ac:dyDescent="0.3">
      <c r="A88">
        <v>8.3928326685716392</v>
      </c>
      <c r="B88">
        <v>12.861557066161525</v>
      </c>
      <c r="C88">
        <f t="shared" si="2"/>
        <v>165.41965016612946</v>
      </c>
      <c r="D88">
        <f t="shared" si="3"/>
        <v>0</v>
      </c>
    </row>
    <row r="89" spans="1:4" x14ac:dyDescent="0.3">
      <c r="A89">
        <v>9.493735398562885</v>
      </c>
      <c r="B89">
        <v>9.7796211823590014</v>
      </c>
      <c r="C89">
        <f t="shared" si="2"/>
        <v>95.640990470444876</v>
      </c>
      <c r="D89">
        <f t="shared" si="3"/>
        <v>0</v>
      </c>
    </row>
    <row r="90" spans="1:4" x14ac:dyDescent="0.3">
      <c r="A90">
        <v>5.6123219381275158</v>
      </c>
      <c r="B90">
        <v>3.0472028878141715</v>
      </c>
      <c r="C90">
        <f t="shared" si="2"/>
        <v>9.2854454395030253</v>
      </c>
      <c r="D90">
        <f t="shared" si="3"/>
        <v>0</v>
      </c>
    </row>
    <row r="91" spans="1:4" x14ac:dyDescent="0.3">
      <c r="A91">
        <v>-0.2796310790685082</v>
      </c>
      <c r="B91">
        <v>12.90037536734234</v>
      </c>
      <c r="C91">
        <f t="shared" si="2"/>
        <v>166.41968461833301</v>
      </c>
      <c r="D91">
        <f t="shared" si="3"/>
        <v>0</v>
      </c>
    </row>
    <row r="92" spans="1:4" x14ac:dyDescent="0.3">
      <c r="A92">
        <v>7.2512526359756979</v>
      </c>
      <c r="B92">
        <v>-1.0723158341676335</v>
      </c>
      <c r="C92">
        <f t="shared" si="2"/>
        <v>1.1498612482066277</v>
      </c>
      <c r="D92">
        <f t="shared" si="3"/>
        <v>0</v>
      </c>
    </row>
    <row r="93" spans="1:4" x14ac:dyDescent="0.3">
      <c r="A93">
        <v>2.9018448855301462</v>
      </c>
      <c r="B93">
        <v>4.6784110791606226</v>
      </c>
      <c r="C93">
        <f t="shared" si="2"/>
        <v>21.88753022561286</v>
      </c>
      <c r="D93">
        <f t="shared" si="3"/>
        <v>0</v>
      </c>
    </row>
    <row r="94" spans="1:4" x14ac:dyDescent="0.3">
      <c r="A94">
        <v>3.4023539545889254</v>
      </c>
      <c r="B94">
        <v>4.2391960000469959</v>
      </c>
      <c r="C94">
        <f t="shared" si="2"/>
        <v>17.970782726814448</v>
      </c>
      <c r="D94">
        <f t="shared" si="3"/>
        <v>0</v>
      </c>
    </row>
    <row r="95" spans="1:4" x14ac:dyDescent="0.3">
      <c r="A95">
        <v>-1.7972894762201097</v>
      </c>
      <c r="B95">
        <v>7.5187665805184221</v>
      </c>
      <c r="C95">
        <f t="shared" si="2"/>
        <v>56.531850892320683</v>
      </c>
      <c r="D95">
        <f t="shared" si="3"/>
        <v>0</v>
      </c>
    </row>
    <row r="96" spans="1:4" x14ac:dyDescent="0.3">
      <c r="A96">
        <v>5.8718000370119103</v>
      </c>
      <c r="B96">
        <v>5.8778226271550285</v>
      </c>
      <c r="C96">
        <f t="shared" si="2"/>
        <v>34.548798836295639</v>
      </c>
      <c r="D96">
        <f t="shared" si="3"/>
        <v>0</v>
      </c>
    </row>
    <row r="97" spans="1:4" x14ac:dyDescent="0.3">
      <c r="A97">
        <v>1.5910323322078297</v>
      </c>
      <c r="B97">
        <v>3.5694311585875176</v>
      </c>
      <c r="C97">
        <f t="shared" si="2"/>
        <v>12.740838795895428</v>
      </c>
      <c r="D97">
        <f t="shared" si="3"/>
        <v>0</v>
      </c>
    </row>
    <row r="98" spans="1:4" x14ac:dyDescent="0.3">
      <c r="A98">
        <v>-3.9014999106519812</v>
      </c>
      <c r="B98">
        <v>-7.8508224347911417</v>
      </c>
      <c r="C98">
        <f t="shared" si="2"/>
        <v>61.635412902619912</v>
      </c>
      <c r="D98">
        <f t="shared" si="3"/>
        <v>0</v>
      </c>
    </row>
    <row r="99" spans="1:4" x14ac:dyDescent="0.3">
      <c r="A99">
        <v>2.8791809576771761</v>
      </c>
      <c r="B99">
        <v>1.7147106758077633</v>
      </c>
      <c r="C99">
        <f t="shared" si="2"/>
        <v>2.9402327017291161</v>
      </c>
      <c r="D99">
        <f t="shared" si="3"/>
        <v>0</v>
      </c>
    </row>
    <row r="100" spans="1:4" x14ac:dyDescent="0.3">
      <c r="A100">
        <v>5.775840137885341</v>
      </c>
      <c r="B100">
        <v>2.126991508570808</v>
      </c>
      <c r="C100">
        <f t="shared" si="2"/>
        <v>4.5240928775323219</v>
      </c>
      <c r="D100">
        <f t="shared" si="3"/>
        <v>0</v>
      </c>
    </row>
    <row r="101" spans="1:4" x14ac:dyDescent="0.3">
      <c r="A101">
        <v>1.4571485363073777</v>
      </c>
      <c r="B101">
        <v>4.1657804220108083</v>
      </c>
      <c r="C101">
        <f t="shared" si="2"/>
        <v>17.353726524408547</v>
      </c>
      <c r="D101">
        <f t="shared" si="3"/>
        <v>0</v>
      </c>
    </row>
    <row r="102" spans="1:4" x14ac:dyDescent="0.3">
      <c r="A102">
        <v>-8.9195009517306492</v>
      </c>
      <c r="B102">
        <v>-16.879621269988053</v>
      </c>
      <c r="C102">
        <f t="shared" si="2"/>
        <v>284.92161421823312</v>
      </c>
      <c r="D102">
        <f t="shared" si="3"/>
        <v>0</v>
      </c>
    </row>
    <row r="103" spans="1:4" x14ac:dyDescent="0.3">
      <c r="A103">
        <v>-5.3171433821677194</v>
      </c>
      <c r="B103">
        <v>-11.454554912060651</v>
      </c>
      <c r="C103">
        <f t="shared" si="2"/>
        <v>131.20682823341278</v>
      </c>
      <c r="D103">
        <f t="shared" si="3"/>
        <v>0</v>
      </c>
    </row>
    <row r="104" spans="1:4" x14ac:dyDescent="0.3">
      <c r="A104">
        <v>7.1372833191807699</v>
      </c>
      <c r="B104">
        <v>11.469973760524136</v>
      </c>
      <c r="C104">
        <f t="shared" si="2"/>
        <v>131.56029806711217</v>
      </c>
      <c r="D104">
        <f t="shared" si="3"/>
        <v>0</v>
      </c>
    </row>
    <row r="105" spans="1:4" x14ac:dyDescent="0.3">
      <c r="A105">
        <v>-5.3742235809649603</v>
      </c>
      <c r="B105">
        <v>-9.5172341063835404</v>
      </c>
      <c r="C105">
        <f t="shared" si="2"/>
        <v>90.577745035710109</v>
      </c>
      <c r="D105">
        <f t="shared" si="3"/>
        <v>0</v>
      </c>
    </row>
    <row r="106" spans="1:4" x14ac:dyDescent="0.3">
      <c r="A106">
        <v>8.5436546301938474</v>
      </c>
      <c r="B106">
        <v>4.2416903708729103</v>
      </c>
      <c r="C106">
        <f t="shared" si="2"/>
        <v>17.991937202355967</v>
      </c>
      <c r="D106">
        <f t="shared" si="3"/>
        <v>0</v>
      </c>
    </row>
    <row r="107" spans="1:4" x14ac:dyDescent="0.3">
      <c r="A107">
        <v>3.6148404441445523</v>
      </c>
      <c r="B107">
        <v>8.5166133896513223</v>
      </c>
      <c r="C107">
        <f t="shared" si="2"/>
        <v>72.532703628788184</v>
      </c>
      <c r="D107">
        <f t="shared" si="3"/>
        <v>0</v>
      </c>
    </row>
    <row r="108" spans="1:4" x14ac:dyDescent="0.3">
      <c r="A108">
        <v>6.3366955869381084E-2</v>
      </c>
      <c r="B108">
        <v>-5.4433887938244485</v>
      </c>
      <c r="C108">
        <f t="shared" si="2"/>
        <v>29.630481560733585</v>
      </c>
      <c r="D108">
        <f t="shared" si="3"/>
        <v>0</v>
      </c>
    </row>
    <row r="109" spans="1:4" x14ac:dyDescent="0.3">
      <c r="A109">
        <v>5.8012320615256296</v>
      </c>
      <c r="B109">
        <v>9.964626395921897</v>
      </c>
      <c r="C109">
        <f t="shared" si="2"/>
        <v>99.293779210303413</v>
      </c>
      <c r="D109">
        <f t="shared" si="3"/>
        <v>0</v>
      </c>
    </row>
    <row r="110" spans="1:4" x14ac:dyDescent="0.3">
      <c r="A110">
        <v>2.462929912306798</v>
      </c>
      <c r="B110">
        <v>-0.65951879205440755</v>
      </c>
      <c r="C110">
        <f t="shared" si="2"/>
        <v>0.43496503707290485</v>
      </c>
      <c r="D110">
        <f t="shared" si="3"/>
        <v>0</v>
      </c>
    </row>
    <row r="111" spans="1:4" x14ac:dyDescent="0.3">
      <c r="A111">
        <v>3.0072199610088246</v>
      </c>
      <c r="B111">
        <v>-4.246413967592086</v>
      </c>
      <c r="C111">
        <f t="shared" si="2"/>
        <v>18.03203158416116</v>
      </c>
      <c r="D111">
        <f t="shared" si="3"/>
        <v>0</v>
      </c>
    </row>
    <row r="112" spans="1:4" x14ac:dyDescent="0.3">
      <c r="A112">
        <v>5.4866599667333676E-2</v>
      </c>
      <c r="B112">
        <v>-4.5887030287431099</v>
      </c>
      <c r="C112">
        <f t="shared" si="2"/>
        <v>21.056195485996192</v>
      </c>
      <c r="D112">
        <f t="shared" si="3"/>
        <v>0</v>
      </c>
    </row>
    <row r="113" spans="1:4" x14ac:dyDescent="0.3">
      <c r="A113">
        <v>2.6470361095660309</v>
      </c>
      <c r="B113">
        <v>2.0609515153072593</v>
      </c>
      <c r="C113">
        <f t="shared" si="2"/>
        <v>4.2475211484472881</v>
      </c>
      <c r="D113">
        <f t="shared" si="3"/>
        <v>0</v>
      </c>
    </row>
    <row r="114" spans="1:4" x14ac:dyDescent="0.3">
      <c r="A114">
        <v>-1.4798903265796055</v>
      </c>
      <c r="B114">
        <v>-3.5772459927879554</v>
      </c>
      <c r="C114">
        <f t="shared" si="2"/>
        <v>12.796688892917485</v>
      </c>
      <c r="D114">
        <f t="shared" si="3"/>
        <v>0</v>
      </c>
    </row>
    <row r="115" spans="1:4" x14ac:dyDescent="0.3">
      <c r="A115">
        <v>-1.8459518851290648</v>
      </c>
      <c r="B115">
        <v>3.8787459798621029</v>
      </c>
      <c r="C115">
        <f t="shared" si="2"/>
        <v>15.044670376296425</v>
      </c>
      <c r="D115">
        <f t="shared" si="3"/>
        <v>0</v>
      </c>
    </row>
    <row r="116" spans="1:4" x14ac:dyDescent="0.3">
      <c r="A116">
        <v>-2.1501881105938678</v>
      </c>
      <c r="B116">
        <v>5.2413142039209193</v>
      </c>
      <c r="C116">
        <f t="shared" si="2"/>
        <v>27.471374584223181</v>
      </c>
      <c r="D116">
        <f t="shared" si="3"/>
        <v>0</v>
      </c>
    </row>
    <row r="117" spans="1:4" x14ac:dyDescent="0.3">
      <c r="A117">
        <v>-5.8535314936121319</v>
      </c>
      <c r="B117">
        <v>-2.9648464273037667</v>
      </c>
      <c r="C117">
        <f t="shared" si="2"/>
        <v>8.790314337495909</v>
      </c>
      <c r="D117">
        <f t="shared" si="3"/>
        <v>0</v>
      </c>
    </row>
    <row r="118" spans="1:4" x14ac:dyDescent="0.3">
      <c r="A118">
        <v>-7.4849794417011921</v>
      </c>
      <c r="B118">
        <v>-6.6453472918264787</v>
      </c>
      <c r="C118">
        <f t="shared" si="2"/>
        <v>44.160640628985512</v>
      </c>
      <c r="D118">
        <f t="shared" si="3"/>
        <v>0</v>
      </c>
    </row>
    <row r="119" spans="1:4" x14ac:dyDescent="0.3">
      <c r="A119">
        <v>10.063874300363663</v>
      </c>
      <c r="B119">
        <v>6.7555619404818046</v>
      </c>
      <c r="C119">
        <f t="shared" si="2"/>
        <v>45.637617131686284</v>
      </c>
      <c r="D119">
        <f t="shared" si="3"/>
        <v>0</v>
      </c>
    </row>
    <row r="120" spans="1:4" x14ac:dyDescent="0.3">
      <c r="A120">
        <v>-0.32830466731329472</v>
      </c>
      <c r="B120">
        <v>-4.0235899456843507</v>
      </c>
      <c r="C120">
        <f t="shared" si="2"/>
        <v>16.189276051012197</v>
      </c>
      <c r="D120">
        <f t="shared" si="3"/>
        <v>0</v>
      </c>
    </row>
    <row r="121" spans="1:4" x14ac:dyDescent="0.3">
      <c r="A121">
        <v>0.95296861206768169</v>
      </c>
      <c r="B121">
        <v>1.473772383105747</v>
      </c>
      <c r="C121">
        <f t="shared" si="2"/>
        <v>2.1720050372051927</v>
      </c>
      <c r="D121">
        <f t="shared" si="3"/>
        <v>0</v>
      </c>
    </row>
    <row r="122" spans="1:4" x14ac:dyDescent="0.3">
      <c r="A122">
        <v>4.1664044586163467</v>
      </c>
      <c r="B122">
        <v>12.882487630461066</v>
      </c>
      <c r="C122">
        <f t="shared" si="2"/>
        <v>165.95848754898236</v>
      </c>
      <c r="D122">
        <f t="shared" si="3"/>
        <v>0</v>
      </c>
    </row>
    <row r="123" spans="1:4" x14ac:dyDescent="0.3">
      <c r="A123">
        <v>3.9842987412393089</v>
      </c>
      <c r="B123">
        <v>7.2095985478565021</v>
      </c>
      <c r="C123">
        <f t="shared" si="2"/>
        <v>51.978311221254586</v>
      </c>
      <c r="D123">
        <f t="shared" si="3"/>
        <v>0</v>
      </c>
    </row>
    <row r="124" spans="1:4" x14ac:dyDescent="0.3">
      <c r="A124">
        <v>3.0623751999005617</v>
      </c>
      <c r="B124">
        <v>1.6183628935851027</v>
      </c>
      <c r="C124">
        <f t="shared" si="2"/>
        <v>2.6190984553331464</v>
      </c>
      <c r="D124">
        <f t="shared" si="3"/>
        <v>0</v>
      </c>
    </row>
    <row r="125" spans="1:4" x14ac:dyDescent="0.3">
      <c r="A125">
        <v>-0.76281699251177826</v>
      </c>
      <c r="B125">
        <v>-0.75339697988787013</v>
      </c>
      <c r="C125">
        <f t="shared" si="2"/>
        <v>0.56760700930416375</v>
      </c>
      <c r="D125">
        <f t="shared" si="3"/>
        <v>0</v>
      </c>
    </row>
    <row r="126" spans="1:4" x14ac:dyDescent="0.3">
      <c r="A126">
        <v>-6.508959317437772</v>
      </c>
      <c r="B126">
        <v>-9.2609488444238348</v>
      </c>
      <c r="C126">
        <f t="shared" si="2"/>
        <v>85.765173499035157</v>
      </c>
      <c r="D126">
        <f t="shared" si="3"/>
        <v>0</v>
      </c>
    </row>
    <row r="127" spans="1:4" x14ac:dyDescent="0.3">
      <c r="A127">
        <v>3.9193545000562962</v>
      </c>
      <c r="B127">
        <v>4.6771939038481749</v>
      </c>
      <c r="C127">
        <f t="shared" si="2"/>
        <v>21.87614281419453</v>
      </c>
      <c r="D127">
        <f t="shared" si="3"/>
        <v>0</v>
      </c>
    </row>
    <row r="128" spans="1:4" x14ac:dyDescent="0.3">
      <c r="A128">
        <v>1.2310814788954465</v>
      </c>
      <c r="B128">
        <v>-3.7383728679355661</v>
      </c>
      <c r="C128">
        <f t="shared" si="2"/>
        <v>13.97543169971679</v>
      </c>
      <c r="D128">
        <f t="shared" si="3"/>
        <v>0</v>
      </c>
    </row>
    <row r="129" spans="1:4" x14ac:dyDescent="0.3">
      <c r="A129">
        <v>1.9458897372981723</v>
      </c>
      <c r="B129">
        <v>4.470773374184648</v>
      </c>
      <c r="C129">
        <f t="shared" si="2"/>
        <v>19.987814563318384</v>
      </c>
      <c r="D129">
        <f t="shared" si="3"/>
        <v>0</v>
      </c>
    </row>
    <row r="130" spans="1:4" x14ac:dyDescent="0.3">
      <c r="A130">
        <v>2.4043452686790241</v>
      </c>
      <c r="B130">
        <v>-3.5090286593745215</v>
      </c>
      <c r="C130">
        <f t="shared" si="2"/>
        <v>12.313282132311752</v>
      </c>
      <c r="D130">
        <f t="shared" si="3"/>
        <v>0</v>
      </c>
    </row>
    <row r="131" spans="1:4" x14ac:dyDescent="0.3">
      <c r="A131">
        <v>-2.0202530943867059</v>
      </c>
      <c r="B131">
        <v>-4.1941896210992367</v>
      </c>
      <c r="C131">
        <f t="shared" si="2"/>
        <v>17.59122657773656</v>
      </c>
      <c r="D131">
        <f t="shared" si="3"/>
        <v>0</v>
      </c>
    </row>
    <row r="132" spans="1:4" x14ac:dyDescent="0.3">
      <c r="A132">
        <v>0.28523180353572275</v>
      </c>
      <c r="B132">
        <v>-6.9718796554527351</v>
      </c>
      <c r="C132">
        <f t="shared" ref="C132:C195" si="4">(B132-$G$3-$G$4*A132)^2</f>
        <v>48.60710593011575</v>
      </c>
      <c r="D132">
        <f t="shared" ref="D132:D195" si="5">$G$3+$G$4*A132</f>
        <v>0</v>
      </c>
    </row>
    <row r="133" spans="1:4" x14ac:dyDescent="0.3">
      <c r="A133">
        <v>0.68721228080358765</v>
      </c>
      <c r="B133">
        <v>0.33168058166691372</v>
      </c>
      <c r="C133">
        <f t="shared" si="4"/>
        <v>0.11001200825490222</v>
      </c>
      <c r="D133">
        <f t="shared" si="5"/>
        <v>0</v>
      </c>
    </row>
    <row r="134" spans="1:4" x14ac:dyDescent="0.3">
      <c r="A134">
        <v>4.9139458715591955</v>
      </c>
      <c r="B134">
        <v>2.726988136937079</v>
      </c>
      <c r="C134">
        <f t="shared" si="4"/>
        <v>7.4364642989955607</v>
      </c>
      <c r="D134">
        <f t="shared" si="5"/>
        <v>0</v>
      </c>
    </row>
    <row r="135" spans="1:4" x14ac:dyDescent="0.3">
      <c r="A135">
        <v>1.0916594218532338</v>
      </c>
      <c r="B135">
        <v>1.2586447006622845</v>
      </c>
      <c r="C135">
        <f t="shared" si="4"/>
        <v>1.5841864825052518</v>
      </c>
      <c r="D135">
        <f t="shared" si="5"/>
        <v>0</v>
      </c>
    </row>
    <row r="136" spans="1:4" x14ac:dyDescent="0.3">
      <c r="A136">
        <v>3.527399315697588</v>
      </c>
      <c r="B136">
        <v>2.8645357289464286</v>
      </c>
      <c r="C136">
        <f t="shared" si="4"/>
        <v>8.2055649424106463</v>
      </c>
      <c r="D136">
        <f t="shared" si="5"/>
        <v>0</v>
      </c>
    </row>
    <row r="137" spans="1:4" x14ac:dyDescent="0.3">
      <c r="A137">
        <v>1.7868012019289374</v>
      </c>
      <c r="B137">
        <v>14.572687994522262</v>
      </c>
      <c r="C137">
        <f t="shared" si="4"/>
        <v>212.36323538569326</v>
      </c>
      <c r="D137">
        <f t="shared" si="5"/>
        <v>0</v>
      </c>
    </row>
    <row r="138" spans="1:4" x14ac:dyDescent="0.3">
      <c r="A138">
        <v>2.1123951082768992</v>
      </c>
      <c r="B138">
        <v>5.2920331221582133</v>
      </c>
      <c r="C138">
        <f t="shared" si="4"/>
        <v>28.005614566019606</v>
      </c>
      <c r="D138">
        <f t="shared" si="5"/>
        <v>0</v>
      </c>
    </row>
    <row r="139" spans="1:4" x14ac:dyDescent="0.3">
      <c r="A139">
        <v>-1.3572645727413182</v>
      </c>
      <c r="B139">
        <v>-1.0410451511164995</v>
      </c>
      <c r="C139">
        <f t="shared" si="4"/>
        <v>1.0837750066631753</v>
      </c>
      <c r="D139">
        <f t="shared" si="5"/>
        <v>0</v>
      </c>
    </row>
    <row r="140" spans="1:4" x14ac:dyDescent="0.3">
      <c r="A140">
        <v>4.8254425763231996</v>
      </c>
      <c r="B140">
        <v>-8.142807402762287</v>
      </c>
      <c r="C140">
        <f t="shared" si="4"/>
        <v>66.305312398480297</v>
      </c>
      <c r="D140">
        <f t="shared" si="5"/>
        <v>0</v>
      </c>
    </row>
    <row r="141" spans="1:4" x14ac:dyDescent="0.3">
      <c r="A141">
        <v>-3.2194988727198224</v>
      </c>
      <c r="B141">
        <v>4.779926555337692</v>
      </c>
      <c r="C141">
        <f t="shared" si="4"/>
        <v>22.847697874422455</v>
      </c>
      <c r="D141">
        <f t="shared" si="5"/>
        <v>0</v>
      </c>
    </row>
    <row r="142" spans="1:4" x14ac:dyDescent="0.3">
      <c r="A142">
        <v>2.7986997406494578</v>
      </c>
      <c r="B142">
        <v>-0.36160406246287818</v>
      </c>
      <c r="C142">
        <f t="shared" si="4"/>
        <v>0.13075749798965711</v>
      </c>
      <c r="D142">
        <f t="shared" si="5"/>
        <v>0</v>
      </c>
    </row>
    <row r="143" spans="1:4" x14ac:dyDescent="0.3">
      <c r="A143">
        <v>4.4305895744551611</v>
      </c>
      <c r="B143">
        <v>6.1996013552215308</v>
      </c>
      <c r="C143">
        <f t="shared" si="4"/>
        <v>38.435056963664643</v>
      </c>
      <c r="D143">
        <f t="shared" si="5"/>
        <v>0</v>
      </c>
    </row>
    <row r="144" spans="1:4" x14ac:dyDescent="0.3">
      <c r="A144">
        <v>2.6785770944088436</v>
      </c>
      <c r="B144">
        <v>7.394880063839512</v>
      </c>
      <c r="C144">
        <f t="shared" si="4"/>
        <v>54.684251158571065</v>
      </c>
      <c r="D144">
        <f t="shared" si="5"/>
        <v>0</v>
      </c>
    </row>
    <row r="145" spans="1:4" x14ac:dyDescent="0.3">
      <c r="A145">
        <v>2.1467975915643116</v>
      </c>
      <c r="B145">
        <v>-1.9121685068819338</v>
      </c>
      <c r="C145">
        <f t="shared" si="4"/>
        <v>3.6563883987110843</v>
      </c>
      <c r="D145">
        <f t="shared" si="5"/>
        <v>0</v>
      </c>
    </row>
    <row r="146" spans="1:4" x14ac:dyDescent="0.3">
      <c r="A146">
        <v>-3.4860738491773717</v>
      </c>
      <c r="B146">
        <v>1.1395362490289516</v>
      </c>
      <c r="C146">
        <f t="shared" si="4"/>
        <v>1.2985428628509728</v>
      </c>
      <c r="D146">
        <f t="shared" si="5"/>
        <v>0</v>
      </c>
    </row>
    <row r="147" spans="1:4" x14ac:dyDescent="0.3">
      <c r="A147">
        <v>4.1168879491496835</v>
      </c>
      <c r="B147">
        <v>1.2302573965058188</v>
      </c>
      <c r="C147">
        <f t="shared" si="4"/>
        <v>1.5135332616572754</v>
      </c>
      <c r="D147">
        <f t="shared" si="5"/>
        <v>0</v>
      </c>
    </row>
    <row r="148" spans="1:4" x14ac:dyDescent="0.3">
      <c r="A148">
        <v>0.86837249682221063</v>
      </c>
      <c r="B148">
        <v>6.7575531826564212</v>
      </c>
      <c r="C148">
        <f t="shared" si="4"/>
        <v>45.664525016429927</v>
      </c>
      <c r="D148">
        <f t="shared" si="5"/>
        <v>0</v>
      </c>
    </row>
    <row r="149" spans="1:4" x14ac:dyDescent="0.3">
      <c r="A149">
        <v>0.55253510011688867</v>
      </c>
      <c r="B149">
        <v>-1.4523348836579668</v>
      </c>
      <c r="C149">
        <f t="shared" si="4"/>
        <v>2.1092766142897998</v>
      </c>
      <c r="D149">
        <f t="shared" si="5"/>
        <v>0</v>
      </c>
    </row>
    <row r="150" spans="1:4" x14ac:dyDescent="0.3">
      <c r="A150">
        <v>2.0709610733356594</v>
      </c>
      <c r="B150">
        <v>1.3252721335100346</v>
      </c>
      <c r="C150">
        <f t="shared" si="4"/>
        <v>1.7563462278582389</v>
      </c>
      <c r="D150">
        <f t="shared" si="5"/>
        <v>0</v>
      </c>
    </row>
    <row r="151" spans="1:4" x14ac:dyDescent="0.3">
      <c r="A151">
        <v>1.9740065326586282</v>
      </c>
      <c r="B151">
        <v>1.8360263645083661</v>
      </c>
      <c r="C151">
        <f t="shared" si="4"/>
        <v>3.3709928111698075</v>
      </c>
      <c r="D151">
        <f t="shared" si="5"/>
        <v>0</v>
      </c>
    </row>
    <row r="152" spans="1:4" x14ac:dyDescent="0.3">
      <c r="A152">
        <v>-1.6720782458769428</v>
      </c>
      <c r="B152">
        <v>3.4387987604363013</v>
      </c>
      <c r="C152">
        <f t="shared" si="4"/>
        <v>11.825336914778243</v>
      </c>
      <c r="D152">
        <f t="shared" si="5"/>
        <v>0</v>
      </c>
    </row>
    <row r="153" spans="1:4" x14ac:dyDescent="0.3">
      <c r="A153">
        <v>3.7738689811750628</v>
      </c>
      <c r="B153">
        <v>5.1233539381378117</v>
      </c>
      <c r="C153">
        <f t="shared" si="4"/>
        <v>26.248755575432224</v>
      </c>
      <c r="D153">
        <f t="shared" si="5"/>
        <v>0</v>
      </c>
    </row>
    <row r="154" spans="1:4" x14ac:dyDescent="0.3">
      <c r="A154">
        <v>-1.6432542208666832</v>
      </c>
      <c r="B154">
        <v>2.0247693603891399</v>
      </c>
      <c r="C154">
        <f t="shared" si="4"/>
        <v>4.099690962770647</v>
      </c>
      <c r="D154">
        <f t="shared" si="5"/>
        <v>0</v>
      </c>
    </row>
    <row r="155" spans="1:4" x14ac:dyDescent="0.3">
      <c r="A155">
        <v>2.3430083690481931</v>
      </c>
      <c r="B155">
        <v>1.2629520244989687</v>
      </c>
      <c r="C155">
        <f t="shared" si="4"/>
        <v>1.5950478161860437</v>
      </c>
      <c r="D155">
        <f t="shared" si="5"/>
        <v>0</v>
      </c>
    </row>
    <row r="156" spans="1:4" x14ac:dyDescent="0.3">
      <c r="A156">
        <v>2.3280265813537011</v>
      </c>
      <c r="B156">
        <v>1.8134949933945208</v>
      </c>
      <c r="C156">
        <f t="shared" si="4"/>
        <v>3.2887640910669931</v>
      </c>
      <c r="D156">
        <f t="shared" si="5"/>
        <v>0</v>
      </c>
    </row>
    <row r="157" spans="1:4" x14ac:dyDescent="0.3">
      <c r="A157">
        <v>-0.33610811001525198</v>
      </c>
      <c r="B157">
        <v>-2.8883356765765464</v>
      </c>
      <c r="C157">
        <f t="shared" si="4"/>
        <v>8.3424829805848955</v>
      </c>
      <c r="D157">
        <f t="shared" si="5"/>
        <v>0</v>
      </c>
    </row>
    <row r="158" spans="1:4" x14ac:dyDescent="0.3">
      <c r="A158">
        <v>-3.0715997058701054</v>
      </c>
      <c r="B158">
        <v>-13.957165231631896</v>
      </c>
      <c r="C158">
        <f t="shared" si="4"/>
        <v>194.80246130307424</v>
      </c>
      <c r="D158">
        <f t="shared" si="5"/>
        <v>0</v>
      </c>
    </row>
    <row r="159" spans="1:4" x14ac:dyDescent="0.3">
      <c r="A159">
        <v>5.2927233713019524</v>
      </c>
      <c r="B159">
        <v>8.1928172069436425</v>
      </c>
      <c r="C159">
        <f t="shared" si="4"/>
        <v>67.122253786391823</v>
      </c>
      <c r="D159">
        <f t="shared" si="5"/>
        <v>0</v>
      </c>
    </row>
    <row r="160" spans="1:4" x14ac:dyDescent="0.3">
      <c r="A160">
        <v>-1.8046748099037104</v>
      </c>
      <c r="B160">
        <v>-7.5554865007956353</v>
      </c>
      <c r="C160">
        <f t="shared" si="4"/>
        <v>57.085376263705072</v>
      </c>
      <c r="D160">
        <f t="shared" si="5"/>
        <v>0</v>
      </c>
    </row>
    <row r="161" spans="1:4" x14ac:dyDescent="0.3">
      <c r="A161">
        <v>0.94900011185346711</v>
      </c>
      <c r="B161">
        <v>17.918474223183367</v>
      </c>
      <c r="C161">
        <f t="shared" si="4"/>
        <v>321.07171848688677</v>
      </c>
      <c r="D161">
        <f t="shared" si="5"/>
        <v>0</v>
      </c>
    </row>
    <row r="162" spans="1:4" x14ac:dyDescent="0.3">
      <c r="A162">
        <v>1.0116837493688986</v>
      </c>
      <c r="B162">
        <v>-3.729842934555605</v>
      </c>
      <c r="C162">
        <f t="shared" si="4"/>
        <v>13.911728316454367</v>
      </c>
      <c r="D162">
        <f t="shared" si="5"/>
        <v>0</v>
      </c>
    </row>
    <row r="163" spans="1:4" x14ac:dyDescent="0.3">
      <c r="A163">
        <v>-1.9961525136868954</v>
      </c>
      <c r="B163">
        <v>-5.958814873639696</v>
      </c>
      <c r="C163">
        <f t="shared" si="4"/>
        <v>35.507474698309665</v>
      </c>
      <c r="D163">
        <f t="shared" si="5"/>
        <v>0</v>
      </c>
    </row>
    <row r="164" spans="1:4" x14ac:dyDescent="0.3">
      <c r="A164">
        <v>1.7949872043323196</v>
      </c>
      <c r="B164">
        <v>5.6126213738046378</v>
      </c>
      <c r="C164">
        <f t="shared" si="4"/>
        <v>31.501518685688659</v>
      </c>
      <c r="D164">
        <f t="shared" si="5"/>
        <v>0</v>
      </c>
    </row>
    <row r="165" spans="1:4" x14ac:dyDescent="0.3">
      <c r="A165">
        <v>-6.6052276348838266</v>
      </c>
      <c r="B165">
        <v>-7.0581916873773762</v>
      </c>
      <c r="C165">
        <f t="shared" si="4"/>
        <v>49.818069895763095</v>
      </c>
      <c r="D165">
        <f t="shared" si="5"/>
        <v>0</v>
      </c>
    </row>
    <row r="166" spans="1:4" x14ac:dyDescent="0.3">
      <c r="A166">
        <v>-2.5952986135958938</v>
      </c>
      <c r="B166">
        <v>1.6844020221020481</v>
      </c>
      <c r="C166">
        <f t="shared" si="4"/>
        <v>2.8372101720614689</v>
      </c>
      <c r="D166">
        <f t="shared" si="5"/>
        <v>0</v>
      </c>
    </row>
    <row r="167" spans="1:4" x14ac:dyDescent="0.3">
      <c r="A167">
        <v>8.05736594730209</v>
      </c>
      <c r="B167">
        <v>17.337831191806018</v>
      </c>
      <c r="C167">
        <f t="shared" si="4"/>
        <v>300.60039043556168</v>
      </c>
      <c r="D167">
        <f t="shared" si="5"/>
        <v>0</v>
      </c>
    </row>
    <row r="168" spans="1:4" x14ac:dyDescent="0.3">
      <c r="A168">
        <v>9.3397395980225312E-2</v>
      </c>
      <c r="B168">
        <v>3.1859975415255257</v>
      </c>
      <c r="C168">
        <f t="shared" si="4"/>
        <v>10.150580334606694</v>
      </c>
      <c r="D168">
        <f t="shared" si="5"/>
        <v>0</v>
      </c>
    </row>
    <row r="169" spans="1:4" x14ac:dyDescent="0.3">
      <c r="A169">
        <v>-2.1900148986011501</v>
      </c>
      <c r="B169">
        <v>2.0386352011274314</v>
      </c>
      <c r="C169">
        <f t="shared" si="4"/>
        <v>4.1560334832758823</v>
      </c>
      <c r="D169">
        <f t="shared" si="5"/>
        <v>0</v>
      </c>
    </row>
    <row r="170" spans="1:4" x14ac:dyDescent="0.3">
      <c r="A170">
        <v>-5.1174330289292529</v>
      </c>
      <c r="B170">
        <v>-0.72710506286721888</v>
      </c>
      <c r="C170">
        <f t="shared" si="4"/>
        <v>0.52868177244714232</v>
      </c>
      <c r="D170">
        <f t="shared" si="5"/>
        <v>0</v>
      </c>
    </row>
    <row r="171" spans="1:4" x14ac:dyDescent="0.3">
      <c r="A171">
        <v>-1.8088168547485874E-2</v>
      </c>
      <c r="B171">
        <v>-7.9756606132003993</v>
      </c>
      <c r="C171">
        <f t="shared" si="4"/>
        <v>63.611162216956167</v>
      </c>
      <c r="D171">
        <f t="shared" si="5"/>
        <v>0</v>
      </c>
    </row>
    <row r="172" spans="1:4" x14ac:dyDescent="0.3">
      <c r="A172">
        <v>5.9627086046743205</v>
      </c>
      <c r="B172">
        <v>8.178634522714157</v>
      </c>
      <c r="C172">
        <f t="shared" si="4"/>
        <v>66.890062656131832</v>
      </c>
      <c r="D172">
        <f t="shared" si="5"/>
        <v>0</v>
      </c>
    </row>
    <row r="173" spans="1:4" x14ac:dyDescent="0.3">
      <c r="A173">
        <v>0.49249022739147275</v>
      </c>
      <c r="B173">
        <v>-10.227835107386742</v>
      </c>
      <c r="C173">
        <f t="shared" si="4"/>
        <v>104.60861098389277</v>
      </c>
      <c r="D173">
        <f t="shared" si="5"/>
        <v>0</v>
      </c>
    </row>
    <row r="174" spans="1:4" x14ac:dyDescent="0.3">
      <c r="A174">
        <v>1.263361284862885</v>
      </c>
      <c r="B174">
        <v>6.0638980712893025</v>
      </c>
      <c r="C174">
        <f t="shared" si="4"/>
        <v>36.770859818986125</v>
      </c>
      <c r="D174">
        <f t="shared" si="5"/>
        <v>0</v>
      </c>
    </row>
    <row r="175" spans="1:4" x14ac:dyDescent="0.3">
      <c r="A175">
        <v>0.23506209687665844</v>
      </c>
      <c r="B175">
        <v>-3.5363529820523825</v>
      </c>
      <c r="C175">
        <f t="shared" si="4"/>
        <v>12.505792413670779</v>
      </c>
      <c r="D175">
        <f t="shared" si="5"/>
        <v>0</v>
      </c>
    </row>
    <row r="176" spans="1:4" x14ac:dyDescent="0.3">
      <c r="A176">
        <v>3.43046312533271</v>
      </c>
      <c r="B176">
        <v>10.201803109088162</v>
      </c>
      <c r="C176">
        <f t="shared" si="4"/>
        <v>104.0767866766009</v>
      </c>
      <c r="D176">
        <f t="shared" si="5"/>
        <v>0</v>
      </c>
    </row>
    <row r="177" spans="1:4" x14ac:dyDescent="0.3">
      <c r="A177">
        <v>-0.10877638358627509</v>
      </c>
      <c r="B177">
        <v>1.3417621325252587</v>
      </c>
      <c r="C177">
        <f t="shared" si="4"/>
        <v>1.8003256202787299</v>
      </c>
      <c r="D177">
        <f t="shared" si="5"/>
        <v>0</v>
      </c>
    </row>
    <row r="178" spans="1:4" x14ac:dyDescent="0.3">
      <c r="A178">
        <v>-0.34707048432618487</v>
      </c>
      <c r="B178">
        <v>0.21918301652237573</v>
      </c>
      <c r="C178">
        <f t="shared" si="4"/>
        <v>4.8041194731848036E-2</v>
      </c>
      <c r="D178">
        <f t="shared" si="5"/>
        <v>0</v>
      </c>
    </row>
    <row r="179" spans="1:4" x14ac:dyDescent="0.3">
      <c r="A179">
        <v>-1.6883843413758901</v>
      </c>
      <c r="B179">
        <v>3.9212772851503672</v>
      </c>
      <c r="C179">
        <f t="shared" si="4"/>
        <v>15.376415547036235</v>
      </c>
      <c r="D179">
        <f t="shared" si="5"/>
        <v>0</v>
      </c>
    </row>
    <row r="180" spans="1:4" x14ac:dyDescent="0.3">
      <c r="A180">
        <v>3.2657557292321324</v>
      </c>
      <c r="B180">
        <v>0.52831946815161068</v>
      </c>
      <c r="C180">
        <f t="shared" si="4"/>
        <v>0.27912146042800079</v>
      </c>
      <c r="D180">
        <f t="shared" si="5"/>
        <v>0</v>
      </c>
    </row>
    <row r="181" spans="1:4" x14ac:dyDescent="0.3">
      <c r="A181">
        <v>2.2668186207176784</v>
      </c>
      <c r="B181">
        <v>3.0296387359564871</v>
      </c>
      <c r="C181">
        <f t="shared" si="4"/>
        <v>9.1787108704080218</v>
      </c>
      <c r="D181">
        <f t="shared" si="5"/>
        <v>0</v>
      </c>
    </row>
    <row r="182" spans="1:4" x14ac:dyDescent="0.3">
      <c r="A182">
        <v>1.4563121013323732</v>
      </c>
      <c r="B182">
        <v>3.9164914948133509</v>
      </c>
      <c r="C182">
        <f t="shared" si="4"/>
        <v>15.338905628945316</v>
      </c>
      <c r="D182">
        <f t="shared" si="5"/>
        <v>0</v>
      </c>
    </row>
    <row r="183" spans="1:4" x14ac:dyDescent="0.3">
      <c r="A183">
        <v>4.00891570085704</v>
      </c>
      <c r="B183">
        <v>-1.0859268298969014</v>
      </c>
      <c r="C183">
        <f t="shared" si="4"/>
        <v>1.1792370798899339</v>
      </c>
      <c r="D183">
        <f t="shared" si="5"/>
        <v>0</v>
      </c>
    </row>
    <row r="184" spans="1:4" x14ac:dyDescent="0.3">
      <c r="A184">
        <v>-0.81273684076211627</v>
      </c>
      <c r="B184">
        <v>2.8335757610569181</v>
      </c>
      <c r="C184">
        <f t="shared" si="4"/>
        <v>8.0291515936492921</v>
      </c>
      <c r="D184">
        <f t="shared" si="5"/>
        <v>0</v>
      </c>
    </row>
    <row r="185" spans="1:4" x14ac:dyDescent="0.3">
      <c r="A185">
        <v>1.0337863372076641</v>
      </c>
      <c r="B185">
        <v>3.8043326363028251</v>
      </c>
      <c r="C185">
        <f t="shared" si="4"/>
        <v>14.472946807638804</v>
      </c>
      <c r="D185">
        <f t="shared" si="5"/>
        <v>0</v>
      </c>
    </row>
    <row r="186" spans="1:4" x14ac:dyDescent="0.3">
      <c r="A186">
        <v>1.0552807611911439</v>
      </c>
      <c r="B186">
        <v>1.9207235762607298</v>
      </c>
      <c r="C186">
        <f t="shared" si="4"/>
        <v>3.6891790564038072</v>
      </c>
      <c r="D186">
        <f t="shared" si="5"/>
        <v>0</v>
      </c>
    </row>
    <row r="187" spans="1:4" x14ac:dyDescent="0.3">
      <c r="A187">
        <v>0.56613714734344966</v>
      </c>
      <c r="B187">
        <v>-1.3948690693349339</v>
      </c>
      <c r="C187">
        <f t="shared" si="4"/>
        <v>1.9456597205873047</v>
      </c>
      <c r="D187">
        <f t="shared" si="5"/>
        <v>0</v>
      </c>
    </row>
    <row r="188" spans="1:4" x14ac:dyDescent="0.3">
      <c r="A188">
        <v>1.7717161071854046</v>
      </c>
      <c r="B188">
        <v>5.2341513043104353</v>
      </c>
      <c r="C188">
        <f t="shared" si="4"/>
        <v>27.396339876414633</v>
      </c>
      <c r="D188">
        <f t="shared" si="5"/>
        <v>0</v>
      </c>
    </row>
    <row r="189" spans="1:4" x14ac:dyDescent="0.3">
      <c r="A189">
        <v>-0.19409004040216499</v>
      </c>
      <c r="B189">
        <v>2.7217018281447953</v>
      </c>
      <c r="C189">
        <f t="shared" si="4"/>
        <v>7.4076608413267211</v>
      </c>
      <c r="D189">
        <f t="shared" si="5"/>
        <v>0</v>
      </c>
    </row>
    <row r="190" spans="1:4" x14ac:dyDescent="0.3">
      <c r="A190">
        <v>1.7853965620570391</v>
      </c>
      <c r="B190">
        <v>-0.46268335498364005</v>
      </c>
      <c r="C190">
        <f t="shared" si="4"/>
        <v>0.21407588697891708</v>
      </c>
      <c r="D190">
        <f t="shared" si="5"/>
        <v>0</v>
      </c>
    </row>
    <row r="191" spans="1:4" x14ac:dyDescent="0.3">
      <c r="A191">
        <v>2.3389503969522889</v>
      </c>
      <c r="B191">
        <v>10.943373964248931</v>
      </c>
      <c r="C191">
        <f t="shared" si="4"/>
        <v>119.75743372140136</v>
      </c>
      <c r="D191">
        <f t="shared" si="5"/>
        <v>0</v>
      </c>
    </row>
    <row r="192" spans="1:4" x14ac:dyDescent="0.3">
      <c r="A192">
        <v>2.2634445637441067</v>
      </c>
      <c r="B192">
        <v>1.0789938480616996</v>
      </c>
      <c r="C192">
        <f t="shared" si="4"/>
        <v>1.1642277241549941</v>
      </c>
      <c r="D192">
        <f t="shared" si="5"/>
        <v>0</v>
      </c>
    </row>
    <row r="193" spans="1:4" x14ac:dyDescent="0.3">
      <c r="A193">
        <v>1.3382034976546096</v>
      </c>
      <c r="B193">
        <v>1.5028908360483872</v>
      </c>
      <c r="C193">
        <f t="shared" si="4"/>
        <v>2.2586808650782202</v>
      </c>
      <c r="D193">
        <f t="shared" si="5"/>
        <v>0</v>
      </c>
    </row>
    <row r="194" spans="1:4" x14ac:dyDescent="0.3">
      <c r="A194">
        <v>4.7077932129058331</v>
      </c>
      <c r="B194">
        <v>10.380638911320712</v>
      </c>
      <c r="C194">
        <f t="shared" si="4"/>
        <v>107.75766420722567</v>
      </c>
      <c r="D194">
        <f t="shared" si="5"/>
        <v>0</v>
      </c>
    </row>
    <row r="195" spans="1:4" x14ac:dyDescent="0.3">
      <c r="A195">
        <v>-3.7929238537473915</v>
      </c>
      <c r="B195">
        <v>-1.446222683071505</v>
      </c>
      <c r="C195">
        <f t="shared" si="4"/>
        <v>2.091560049030543</v>
      </c>
      <c r="D195">
        <f t="shared" si="5"/>
        <v>0</v>
      </c>
    </row>
    <row r="197" spans="1:4" x14ac:dyDescent="0.3">
      <c r="A197" t="s">
        <v>14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capm_regressao</vt:lpstr>
      <vt:lpstr>regressao via solver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Wichmann</dc:creator>
  <cp:lastModifiedBy>Aureliano</cp:lastModifiedBy>
  <dcterms:created xsi:type="dcterms:W3CDTF">2018-04-13T16:13:58Z</dcterms:created>
  <dcterms:modified xsi:type="dcterms:W3CDTF">2024-09-19T21:00:50Z</dcterms:modified>
</cp:coreProperties>
</file>